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543B9DE-9314-40B0-A1CD-0FFF9941F6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Executive Summary" sheetId="3" r:id="rId2"/>
    <sheet name="Sales_Clean" sheetId="2" r:id="rId3"/>
    <sheet name="Report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7" i="2"/>
</calcChain>
</file>

<file path=xl/sharedStrings.xml><?xml version="1.0" encoding="utf-8"?>
<sst xmlns="http://schemas.openxmlformats.org/spreadsheetml/2006/main" count="2458" uniqueCount="265">
  <si>
    <t>order id</t>
  </si>
  <si>
    <t>Order Date</t>
  </si>
  <si>
    <t xml:space="preserve">Region </t>
  </si>
  <si>
    <t>product</t>
  </si>
  <si>
    <t xml:space="preserve">Quantity </t>
  </si>
  <si>
    <t>unit price</t>
  </si>
  <si>
    <t>Sales Rep</t>
  </si>
  <si>
    <t>Notes</t>
  </si>
  <si>
    <t>ORD-1</t>
  </si>
  <si>
    <t xml:space="preserve">East </t>
  </si>
  <si>
    <t>printer</t>
  </si>
  <si>
    <t xml:space="preserve"> 3</t>
  </si>
  <si>
    <t xml:space="preserve"> 700</t>
  </si>
  <si>
    <t>Ali</t>
  </si>
  <si>
    <t>urgent</t>
  </si>
  <si>
    <t>ORD-2</t>
  </si>
  <si>
    <t>NORTH</t>
  </si>
  <si>
    <t>Laptop</t>
  </si>
  <si>
    <t>Ayesha</t>
  </si>
  <si>
    <t>ORD-3</t>
  </si>
  <si>
    <t>west</t>
  </si>
  <si>
    <t>ORD-4</t>
  </si>
  <si>
    <t>Monitor</t>
  </si>
  <si>
    <t xml:space="preserve">1000 </t>
  </si>
  <si>
    <t xml:space="preserve">Sara </t>
  </si>
  <si>
    <t>ORD-5</t>
  </si>
  <si>
    <t>john</t>
  </si>
  <si>
    <t>ORD-6</t>
  </si>
  <si>
    <t>South</t>
  </si>
  <si>
    <t xml:space="preserve">tablet </t>
  </si>
  <si>
    <t>ORD-7</t>
  </si>
  <si>
    <t>ORD-8</t>
  </si>
  <si>
    <t>ORD-9</t>
  </si>
  <si>
    <t>ORD-10</t>
  </si>
  <si>
    <t>ORD-11</t>
  </si>
  <si>
    <t>ORD-12</t>
  </si>
  <si>
    <t xml:space="preserve">5 </t>
  </si>
  <si>
    <t>ORD-13</t>
  </si>
  <si>
    <t>ORD-14</t>
  </si>
  <si>
    <t>ORD-15</t>
  </si>
  <si>
    <t>ORD-16</t>
  </si>
  <si>
    <t>ORD-17</t>
  </si>
  <si>
    <t>ORD-18</t>
  </si>
  <si>
    <t>ORD-19</t>
  </si>
  <si>
    <t>ORD-20</t>
  </si>
  <si>
    <t>ORD-21</t>
  </si>
  <si>
    <t>ORD-22</t>
  </si>
  <si>
    <t>ORD-23</t>
  </si>
  <si>
    <t>ORD-24</t>
  </si>
  <si>
    <t>ORD-25</t>
  </si>
  <si>
    <t>ORD-26</t>
  </si>
  <si>
    <t>ORD-27</t>
  </si>
  <si>
    <t>ORD-28</t>
  </si>
  <si>
    <t>ORD-29</t>
  </si>
  <si>
    <t>ORD-30</t>
  </si>
  <si>
    <t>ORD-31</t>
  </si>
  <si>
    <t>ORD-32</t>
  </si>
  <si>
    <t>ORD-33</t>
  </si>
  <si>
    <t>ORD-34</t>
  </si>
  <si>
    <t>ORD-35</t>
  </si>
  <si>
    <t>ORD-36</t>
  </si>
  <si>
    <t>ORD-37</t>
  </si>
  <si>
    <t>ORD-38</t>
  </si>
  <si>
    <t>ORD-39</t>
  </si>
  <si>
    <t>ORD-40</t>
  </si>
  <si>
    <t>ORD-41</t>
  </si>
  <si>
    <t>ORD-42</t>
  </si>
  <si>
    <t>ORD-43</t>
  </si>
  <si>
    <t>ORD-44</t>
  </si>
  <si>
    <t>ORD-45</t>
  </si>
  <si>
    <t>ORD-46</t>
  </si>
  <si>
    <t>ORD-47</t>
  </si>
  <si>
    <t>ORD-48</t>
  </si>
  <si>
    <t>ORD-49</t>
  </si>
  <si>
    <t>ORD-50</t>
  </si>
  <si>
    <t>ORD-51</t>
  </si>
  <si>
    <t>ORD-52</t>
  </si>
  <si>
    <t>ORD-53</t>
  </si>
  <si>
    <t>ORD-54</t>
  </si>
  <si>
    <t>ORD-55</t>
  </si>
  <si>
    <t>ORD-56</t>
  </si>
  <si>
    <t>ORD-57</t>
  </si>
  <si>
    <t>ORD-58</t>
  </si>
  <si>
    <t>ORD-59</t>
  </si>
  <si>
    <t>ORD-60</t>
  </si>
  <si>
    <t>ORD-61</t>
  </si>
  <si>
    <t>ORD-62</t>
  </si>
  <si>
    <t>ORD-63</t>
  </si>
  <si>
    <t>ORD-64</t>
  </si>
  <si>
    <t>ORD-65</t>
  </si>
  <si>
    <t>ORD-66</t>
  </si>
  <si>
    <t>ORD-67</t>
  </si>
  <si>
    <t>ORD-68</t>
  </si>
  <si>
    <t>ORD-69</t>
  </si>
  <si>
    <t>ORD-70</t>
  </si>
  <si>
    <t>ORD-71</t>
  </si>
  <si>
    <t>ORD-72</t>
  </si>
  <si>
    <t>ORD-73</t>
  </si>
  <si>
    <t>ORD-74</t>
  </si>
  <si>
    <t>ORD-75</t>
  </si>
  <si>
    <t>ORD-76</t>
  </si>
  <si>
    <t>ORD-77</t>
  </si>
  <si>
    <t>ORD-78</t>
  </si>
  <si>
    <t>ORD-79</t>
  </si>
  <si>
    <t>ORD-80</t>
  </si>
  <si>
    <t>ORD-81</t>
  </si>
  <si>
    <t>ORD-82</t>
  </si>
  <si>
    <t>ORD-83</t>
  </si>
  <si>
    <t>ORD-84</t>
  </si>
  <si>
    <t>ORD-85</t>
  </si>
  <si>
    <t>ORD-86</t>
  </si>
  <si>
    <t>ORD-87</t>
  </si>
  <si>
    <t>ORD-88</t>
  </si>
  <si>
    <t>ORD-89</t>
  </si>
  <si>
    <t>ORD-90</t>
  </si>
  <si>
    <t>ORD-91</t>
  </si>
  <si>
    <t>ORD-92</t>
  </si>
  <si>
    <t>ORD-93</t>
  </si>
  <si>
    <t>ORD-94</t>
  </si>
  <si>
    <t>ORD-95</t>
  </si>
  <si>
    <t>ORD-96</t>
  </si>
  <si>
    <t>ORD-97</t>
  </si>
  <si>
    <t>ORD-98</t>
  </si>
  <si>
    <t>ORD-99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</si>
  <si>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</si>
  <si>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</si>
  <si>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</si>
  <si>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</si>
  <si>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</si>
  <si>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</si>
  <si>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</si>
  <si>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</si>
  <si>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</si>
  <si>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</si>
  <si>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</si>
  <si>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</si>
  <si>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</si>
  <si>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</si>
  <si>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</si>
  <si>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</si>
  <si>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</si>
  <si>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</si>
  <si>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</si>
  <si>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</si>
  <si>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</si>
  <si>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</si>
  <si>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</si>
  <si>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</si>
  <si>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</si>
  <si>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</si>
  <si>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</si>
  <si>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</si>
  <si>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</si>
  <si>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</si>
  <si>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</si>
  <si>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</si>
  <si>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</si>
  <si>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</si>
  <si>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</si>
  <si>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</si>
  <si>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</si>
  <si>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</si>
  <si>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</si>
  <si>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</si>
  <si>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</si>
  <si>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</si>
  <si>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</si>
  <si>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</si>
  <si>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</si>
  <si>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</si>
  <si>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</si>
  <si>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</si>
  <si>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</si>
  <si>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</si>
  <si>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</si>
  <si>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</si>
  <si>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</si>
  <si>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</si>
  <si>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</si>
  <si>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</si>
  <si>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</si>
  <si>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</si>
  <si>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</si>
  <si>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</si>
  <si>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</si>
  <si>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</si>
  <si>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</si>
  <si>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</si>
  <si>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</si>
  <si>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</si>
  <si>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</si>
  <si>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</si>
  <si>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</si>
  <si>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</si>
  <si>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</si>
  <si>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</si>
  <si>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</si>
  <si>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</si>
  <si>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</si>
  <si>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</si>
  <si>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</si>
  <si>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</si>
  <si>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</si>
  <si>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</si>
  <si>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</si>
  <si>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</si>
  <si>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</si>
  <si>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</si>
  <si>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</si>
  <si>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</si>
  <si>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</si>
  <si>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</si>
  <si>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</si>
  <si>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</si>
  <si>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</si>
  <si>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</si>
  <si>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</si>
  <si>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</si>
  <si>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</si>
  <si>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</si>
  <si>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</si>
  <si>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</si>
  <si>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</si>
  <si>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</si>
  <si>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</si>
  <si>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OrderID</t>
  </si>
  <si>
    <t>OrderDate</t>
  </si>
  <si>
    <t>Product</t>
  </si>
  <si>
    <t>UnitPrice</t>
  </si>
  <si>
    <t>SalesRep</t>
  </si>
  <si>
    <t>East</t>
  </si>
  <si>
    <t>North</t>
  </si>
  <si>
    <t>West</t>
  </si>
  <si>
    <t>Region</t>
  </si>
  <si>
    <t>Printer</t>
  </si>
  <si>
    <t>Tablet</t>
  </si>
  <si>
    <t>3</t>
  </si>
  <si>
    <t>4</t>
  </si>
  <si>
    <t>5</t>
  </si>
  <si>
    <t>1</t>
  </si>
  <si>
    <t>2</t>
  </si>
  <si>
    <t>Quantity</t>
  </si>
  <si>
    <t>700</t>
  </si>
  <si>
    <t>500</t>
  </si>
  <si>
    <t>1000</t>
  </si>
  <si>
    <t>Sara</t>
  </si>
  <si>
    <t>John</t>
  </si>
  <si>
    <t>Revenue</t>
  </si>
  <si>
    <t>Grand Total</t>
  </si>
  <si>
    <t>Total Revenue</t>
  </si>
  <si>
    <t>Revenue By Region</t>
  </si>
  <si>
    <t>Revenue By Product</t>
  </si>
  <si>
    <t>Total Sales</t>
  </si>
  <si>
    <t>SalesRep Performance</t>
  </si>
  <si>
    <t>Month</t>
  </si>
  <si>
    <t>KPI</t>
  </si>
  <si>
    <t>Value</t>
  </si>
  <si>
    <t>Total Orders</t>
  </si>
  <si>
    <t>Average Total Value</t>
  </si>
  <si>
    <t>Sales Performance Report</t>
  </si>
  <si>
    <t>Period</t>
  </si>
  <si>
    <t>Prepared By</t>
  </si>
  <si>
    <t>John Doe</t>
  </si>
  <si>
    <t>ORD</t>
  </si>
  <si>
    <t>ghhha is good ans very subke abs prone to so that hej good to perfr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</si>
</sst>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:mm:ss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/>
    <xf numFmtId="0" fontId="3" fillId="2" borderId="0" xfId="0" applyFont="1" applyFill="1"/>
    <xf numFmtId="165" fontId="0" fillId="0" borderId="0" xfId="1" applyNumberFormat="1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2">
    <cellStyle name="Comma" xfId="1" builtinId="3"/>
    <cellStyle name="Normal" xfId="0" builtinId="0"/>
  </cellStyles>
  <dxfs count="8">
    <dxf>
      <numFmt numFmtId="1" formatCode="0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4" formatCode="yyyy\-mm\-dd\ h:mm:ss"/>
    </dxf>
    <dxf>
      <numFmt numFmtId="164" formatCode="yyyy\-mm\-dd\ h:mm:ss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[Messy_Excel_Challenge.xlsx]Executive Summary!PivotTable1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Reveue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06792420178247"/>
          <c:y val="0.40682935294245237"/>
          <c:w val="0.81830203916818089"/>
          <c:h val="0.32883017721958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Summary'!$C$3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'Executive Summary'!$B$4:$B$8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'Executive Summary'!$C$4:$C$8</c:f>
              <c:numCache>
                <c:formatCode>_(* #,##0_);_(* \(#,##0\);_(* "-"??_);_(@_)</c:formatCode>
                <c:ptCount val="4"/>
                <c:pt idx="0">
                  <c:v>149400</c:v>
                </c:pt>
                <c:pt idx="1">
                  <c:v>140200</c:v>
                </c:pt>
                <c:pt idx="2">
                  <c:v>133000</c:v>
                </c:pt>
                <c:pt idx="3">
                  <c:v>122800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0-451A-AB29-AFC53B9A6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1678527"/>
        <c:axId val="371679007"/>
      </c:barChart>
      <c:catAx>
        <c:axId val="3716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79007"/>
        <c:crosses val="autoZero"/>
        <c:auto val="1"/>
        <c:lblAlgn val="ctr"/>
        <c:lblOffset val="100"/>
        <c:noMultiLvlLbl val="0"/>
      </c:catAx>
      <c:valAx>
        <c:axId val="37167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[Messy_Excel_Challenge.xlsx]Executive Summary!PivotTable2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Summary'!$C$12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Summary'!$B$13:$B$17</c:f>
              <c:strCache>
                <c:ptCount val="4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Tablet</c:v>
                </c:pt>
              </c:strCache>
            </c:strRef>
          </c:cat>
          <c:val>
            <c:numRef>
              <c:f>'Executive Summary'!$C$13:$C$17</c:f>
              <c:numCache>
                <c:formatCode>_(* #,##0_);_(* \(#,##0\);_(* "-"??_);_(@_)</c:formatCode>
                <c:ptCount val="4"/>
                <c:pt idx="0">
                  <c:v>154700</c:v>
                </c:pt>
                <c:pt idx="1">
                  <c:v>148100</c:v>
                </c:pt>
                <c:pt idx="2">
                  <c:v>130900</c:v>
                </c:pt>
                <c:pt idx="3">
                  <c:v>111700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1-49CC-9AE5-9AC8FD867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1801679"/>
        <c:axId val="611820399"/>
      </c:barChart>
      <c:catAx>
        <c:axId val="61180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20399"/>
        <c:crosses val="autoZero"/>
        <c:auto val="1"/>
        <c:lblAlgn val="ctr"/>
        <c:lblOffset val="100"/>
        <c:noMultiLvlLbl val="0"/>
      </c:catAx>
      <c:valAx>
        <c:axId val="61182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  <a:p>
                <a:pPr>
                  <a:defRPr/>
                </a:pP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8</xdr:row>
      <xdr:rowOff>26670</xdr:rowOff>
    </xdr:from>
    <xdr:to>
      <xdr:col>6</xdr:col>
      <xdr:colOff>510540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45991-F833-937C-FAAB-B9D1B3472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47F51-D5CE-6110-B0C6-6A246EF56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9.694298379633" createdVersion="8" refreshedVersion="8" minRefreshableVersion="3" recordCount="200" xr:uid="{5B0F7AD0-82A5-40BB-890D-9580CB7DE7FE}">
  <cacheSource type="worksheet">
    <worksheetSource name="Table2"/>
  </cacheSource>
  <cacheFields count="9">
    <cacheField name="OrderID" numFmtId="0">
      <sharedItems/>
    </cacheField>
    <cacheField name="OrderDate" numFmtId="164">
      <sharedItems containsSemiMixedTypes="0" containsNonDate="0" containsDate="1" containsString="0" minDate="2023-01-07T00:00:00" maxDate="2024-01-02T00:00:00"/>
    </cacheField>
    <cacheField name="Region" numFmtId="49">
      <sharedItems count="4">
        <s v="East"/>
        <s v="North"/>
        <s v="West"/>
        <s v="South"/>
      </sharedItems>
    </cacheField>
    <cacheField name="Product" numFmtId="49">
      <sharedItems count="4">
        <s v="Printer"/>
        <s v="Laptop"/>
        <s v="Monitor"/>
        <s v="Tablet"/>
      </sharedItems>
    </cacheField>
    <cacheField name="Quantity" numFmtId="0">
      <sharedItems/>
    </cacheField>
    <cacheField name="UnitPrice" numFmtId="0">
      <sharedItems/>
    </cacheField>
    <cacheField name="SalesRep" numFmtId="0">
      <sharedItems count="4">
        <s v="Ali"/>
        <s v="Ayesha"/>
        <s v="Sara"/>
        <s v="John"/>
      </sharedItems>
    </cacheField>
    <cacheField name="Notes" numFmtId="0">
      <sharedItems containsBlank="1"/>
    </cacheField>
    <cacheField name="Revenue" numFmtId="1">
      <sharedItems containsSemiMixedTypes="0" containsString="0" containsNumber="1" containsInteger="1" minValue="5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-1"/>
    <d v="2023-03-17T00:00:00"/>
    <x v="0"/>
    <x v="0"/>
    <s v="3"/>
    <s v="700"/>
    <x v="0"/>
    <s v="urgent"/>
    <n v="2100"/>
  </r>
  <r>
    <s v="ORD-2"/>
    <d v="2023-02-23T00:00:00"/>
    <x v="1"/>
    <x v="1"/>
    <s v="4"/>
    <s v="700"/>
    <x v="1"/>
    <m/>
    <n v="2800"/>
  </r>
  <r>
    <s v="ORD-3"/>
    <d v="2023-09-20T00:00:00"/>
    <x v="2"/>
    <x v="1"/>
    <s v="3"/>
    <s v="500"/>
    <x v="0"/>
    <s v="urgent"/>
    <n v="1500"/>
  </r>
  <r>
    <s v="ORD-4"/>
    <d v="2023-07-12T00:00:00"/>
    <x v="1"/>
    <x v="2"/>
    <s v="5"/>
    <s v="1000"/>
    <x v="2"/>
    <m/>
    <n v="5000"/>
  </r>
  <r>
    <s v="ORD-5"/>
    <d v="2023-10-12T00:00:00"/>
    <x v="0"/>
    <x v="0"/>
    <s v="5"/>
    <s v="1000"/>
    <x v="3"/>
    <s v="urgent"/>
    <n v="5000"/>
  </r>
  <r>
    <s v="ORD-6"/>
    <d v="2023-10-14T00:00:00"/>
    <x v="3"/>
    <x v="3"/>
    <s v="3"/>
    <s v="1000"/>
    <x v="2"/>
    <s v="urgent"/>
    <n v="3000"/>
  </r>
  <r>
    <s v="ORD-7"/>
    <d v="2023-07-06T00:00:00"/>
    <x v="3"/>
    <x v="3"/>
    <s v="4"/>
    <s v="700"/>
    <x v="2"/>
    <m/>
    <n v="2800"/>
  </r>
  <r>
    <s v="ORD-8"/>
    <d v="2023-03-23T00:00:00"/>
    <x v="3"/>
    <x v="1"/>
    <s v="1"/>
    <s v="700"/>
    <x v="3"/>
    <m/>
    <n v="700"/>
  </r>
  <r>
    <s v="ORD-9"/>
    <d v="2023-06-14T00:00:00"/>
    <x v="3"/>
    <x v="3"/>
    <s v="3"/>
    <s v="700"/>
    <x v="2"/>
    <m/>
    <n v="2100"/>
  </r>
  <r>
    <s v="ORD-10"/>
    <d v="2023-02-09T00:00:00"/>
    <x v="1"/>
    <x v="3"/>
    <s v="4"/>
    <s v="1000"/>
    <x v="2"/>
    <m/>
    <n v="4000"/>
  </r>
  <r>
    <s v="ORD-11"/>
    <d v="2023-07-21T00:00:00"/>
    <x v="0"/>
    <x v="1"/>
    <s v="1"/>
    <s v="1000"/>
    <x v="0"/>
    <s v="urgent"/>
    <n v="1000"/>
  </r>
  <r>
    <s v="ORD-12"/>
    <d v="2023-02-17T00:00:00"/>
    <x v="3"/>
    <x v="2"/>
    <s v="5"/>
    <s v="1000"/>
    <x v="1"/>
    <s v="urgent"/>
    <n v="5000"/>
  </r>
  <r>
    <s v="ORD-13"/>
    <d v="2023-12-26T00:00:00"/>
    <x v="3"/>
    <x v="1"/>
    <s v="5"/>
    <s v="1000"/>
    <x v="3"/>
    <s v="urgent"/>
    <n v="5000"/>
  </r>
  <r>
    <s v="ORD-14"/>
    <d v="2023-11-19T00:00:00"/>
    <x v="1"/>
    <x v="0"/>
    <s v="3"/>
    <s v="1000"/>
    <x v="2"/>
    <s v="urgent"/>
    <n v="3000"/>
  </r>
  <r>
    <s v="ORD-15"/>
    <d v="2023-08-24T00:00:00"/>
    <x v="0"/>
    <x v="1"/>
    <s v="3"/>
    <s v="500"/>
    <x v="3"/>
    <m/>
    <n v="1500"/>
  </r>
  <r>
    <s v="ORD-16"/>
    <d v="2023-12-02T00:00:00"/>
    <x v="1"/>
    <x v="2"/>
    <s v="5"/>
    <s v="1000"/>
    <x v="1"/>
    <m/>
    <n v="5000"/>
  </r>
  <r>
    <s v="ORD-17"/>
    <d v="2023-04-22T00:00:00"/>
    <x v="1"/>
    <x v="1"/>
    <s v="2"/>
    <s v="1000"/>
    <x v="1"/>
    <m/>
    <n v="2000"/>
  </r>
  <r>
    <s v="ORD-18"/>
    <d v="2023-07-25T00:00:00"/>
    <x v="2"/>
    <x v="3"/>
    <s v="3"/>
    <s v="1000"/>
    <x v="3"/>
    <s v="urgent"/>
    <n v="3000"/>
  </r>
  <r>
    <s v="ORD-19"/>
    <d v="2023-12-19T00:00:00"/>
    <x v="3"/>
    <x v="3"/>
    <s v="3"/>
    <s v="1000"/>
    <x v="3"/>
    <s v="urgent"/>
    <n v="3000"/>
  </r>
  <r>
    <s v="ORD-20"/>
    <d v="2023-09-06T00:00:00"/>
    <x v="0"/>
    <x v="2"/>
    <s v="3"/>
    <s v="1000"/>
    <x v="3"/>
    <s v="urgent"/>
    <n v="3000"/>
  </r>
  <r>
    <s v="ORD-21"/>
    <d v="2023-05-20T00:00:00"/>
    <x v="3"/>
    <x v="2"/>
    <s v="3"/>
    <s v="1000"/>
    <x v="1"/>
    <s v="urgent"/>
    <n v="3000"/>
  </r>
  <r>
    <s v="ORD-22"/>
    <d v="2023-01-08T00:00:00"/>
    <x v="1"/>
    <x v="2"/>
    <s v="3"/>
    <s v="500"/>
    <x v="2"/>
    <s v="urgent"/>
    <n v="1500"/>
  </r>
  <r>
    <s v="ORD-23"/>
    <d v="2023-08-15T00:00:00"/>
    <x v="2"/>
    <x v="1"/>
    <s v="4"/>
    <s v="500"/>
    <x v="1"/>
    <m/>
    <n v="2000"/>
  </r>
  <r>
    <s v="ORD-24"/>
    <d v="2023-04-07T00:00:00"/>
    <x v="0"/>
    <x v="2"/>
    <s v="5"/>
    <s v="700"/>
    <x v="1"/>
    <m/>
    <n v="3500"/>
  </r>
  <r>
    <s v="ORD-25"/>
    <d v="2023-12-31T00:00:00"/>
    <x v="2"/>
    <x v="3"/>
    <s v="3"/>
    <s v="700"/>
    <x v="2"/>
    <m/>
    <n v="2100"/>
  </r>
  <r>
    <s v="ORD-26"/>
    <d v="2023-01-23T00:00:00"/>
    <x v="3"/>
    <x v="0"/>
    <s v="4"/>
    <s v="1000"/>
    <x v="2"/>
    <s v="urgent"/>
    <n v="4000"/>
  </r>
  <r>
    <s v="ORD-27"/>
    <d v="2023-03-15T00:00:00"/>
    <x v="1"/>
    <x v="3"/>
    <s v="3"/>
    <s v="1000"/>
    <x v="2"/>
    <m/>
    <n v="3000"/>
  </r>
  <r>
    <s v="ORD-28"/>
    <d v="2023-01-21T00:00:00"/>
    <x v="3"/>
    <x v="0"/>
    <s v="5"/>
    <s v="700"/>
    <x v="3"/>
    <s v="urgent"/>
    <n v="3500"/>
  </r>
  <r>
    <s v="ORD-29"/>
    <d v="2023-03-25T00:00:00"/>
    <x v="1"/>
    <x v="3"/>
    <s v="1"/>
    <s v="700"/>
    <x v="1"/>
    <s v="urgent"/>
    <n v="700"/>
  </r>
  <r>
    <s v="ORD-30"/>
    <d v="2023-11-07T00:00:00"/>
    <x v="0"/>
    <x v="3"/>
    <s v="5"/>
    <s v="700"/>
    <x v="1"/>
    <s v="urgent"/>
    <n v="3500"/>
  </r>
  <r>
    <s v="ORD-31"/>
    <d v="2023-10-23T00:00:00"/>
    <x v="3"/>
    <x v="0"/>
    <s v="3"/>
    <s v="1000"/>
    <x v="0"/>
    <s v="urgent"/>
    <n v="3000"/>
  </r>
  <r>
    <s v="ORD-32"/>
    <d v="2023-03-28T00:00:00"/>
    <x v="0"/>
    <x v="0"/>
    <s v="1"/>
    <s v="1000"/>
    <x v="2"/>
    <m/>
    <n v="1000"/>
  </r>
  <r>
    <s v="ORD-33"/>
    <d v="2023-01-07T00:00:00"/>
    <x v="3"/>
    <x v="3"/>
    <s v="5"/>
    <s v="500"/>
    <x v="0"/>
    <s v="urgent"/>
    <n v="2500"/>
  </r>
  <r>
    <s v="ORD-34"/>
    <d v="2023-09-02T00:00:00"/>
    <x v="2"/>
    <x v="2"/>
    <s v="1"/>
    <s v="700"/>
    <x v="3"/>
    <s v="urgent"/>
    <n v="700"/>
  </r>
  <r>
    <s v="ORD-35"/>
    <d v="2023-04-07T00:00:00"/>
    <x v="0"/>
    <x v="3"/>
    <s v="3"/>
    <s v="1000"/>
    <x v="1"/>
    <m/>
    <n v="3000"/>
  </r>
  <r>
    <s v="ORD-36"/>
    <d v="2023-01-25T00:00:00"/>
    <x v="0"/>
    <x v="0"/>
    <s v="3"/>
    <s v="700"/>
    <x v="3"/>
    <s v="urgent"/>
    <n v="2100"/>
  </r>
  <r>
    <s v="ORD-37"/>
    <d v="2024-01-01T00:00:00"/>
    <x v="3"/>
    <x v="0"/>
    <s v="1"/>
    <s v="1000"/>
    <x v="3"/>
    <s v="urgent"/>
    <n v="1000"/>
  </r>
  <r>
    <s v="ORD-38"/>
    <d v="2023-08-17T00:00:00"/>
    <x v="3"/>
    <x v="2"/>
    <s v="3"/>
    <s v="700"/>
    <x v="2"/>
    <s v="urgent"/>
    <n v="2100"/>
  </r>
  <r>
    <s v="ORD-39"/>
    <d v="2023-03-13T00:00:00"/>
    <x v="3"/>
    <x v="3"/>
    <s v="2"/>
    <s v="700"/>
    <x v="0"/>
    <s v="urgent"/>
    <n v="1400"/>
  </r>
  <r>
    <s v="ORD-40"/>
    <d v="2023-06-14T00:00:00"/>
    <x v="0"/>
    <x v="1"/>
    <s v="1"/>
    <s v="700"/>
    <x v="0"/>
    <m/>
    <n v="700"/>
  </r>
  <r>
    <s v="ORD-41"/>
    <d v="2023-06-27T00:00:00"/>
    <x v="3"/>
    <x v="3"/>
    <s v="5"/>
    <s v="500"/>
    <x v="1"/>
    <s v="urgent"/>
    <n v="2500"/>
  </r>
  <r>
    <s v="ORD-42"/>
    <d v="2023-11-09T00:00:00"/>
    <x v="2"/>
    <x v="1"/>
    <s v="4"/>
    <s v="500"/>
    <x v="3"/>
    <m/>
    <n v="2000"/>
  </r>
  <r>
    <s v="ORD-43"/>
    <d v="2023-07-25T00:00:00"/>
    <x v="3"/>
    <x v="3"/>
    <s v="4"/>
    <s v="1000"/>
    <x v="2"/>
    <s v="urgent"/>
    <n v="4000"/>
  </r>
  <r>
    <s v="ORD-44"/>
    <d v="2023-11-08T00:00:00"/>
    <x v="0"/>
    <x v="2"/>
    <s v="4"/>
    <s v="1000"/>
    <x v="0"/>
    <m/>
    <n v="4000"/>
  </r>
  <r>
    <s v="ORD-45"/>
    <d v="2023-11-02T00:00:00"/>
    <x v="2"/>
    <x v="2"/>
    <s v="5"/>
    <s v="500"/>
    <x v="2"/>
    <m/>
    <n v="2500"/>
  </r>
  <r>
    <s v="ORD-46"/>
    <d v="2023-05-04T00:00:00"/>
    <x v="2"/>
    <x v="2"/>
    <s v="5"/>
    <s v="700"/>
    <x v="0"/>
    <s v="urgent"/>
    <n v="3500"/>
  </r>
  <r>
    <s v="ORD-47"/>
    <d v="2023-08-02T00:00:00"/>
    <x v="3"/>
    <x v="0"/>
    <s v="5"/>
    <s v="1000"/>
    <x v="1"/>
    <s v="urgent"/>
    <n v="5000"/>
  </r>
  <r>
    <s v="ORD-48"/>
    <d v="2023-12-06T00:00:00"/>
    <x v="0"/>
    <x v="2"/>
    <s v="3"/>
    <s v="1000"/>
    <x v="0"/>
    <s v="urgent"/>
    <n v="3000"/>
  </r>
  <r>
    <s v="ORD-49"/>
    <d v="2023-09-06T00:00:00"/>
    <x v="1"/>
    <x v="0"/>
    <s v="4"/>
    <s v="1000"/>
    <x v="2"/>
    <s v="urgent"/>
    <n v="4000"/>
  </r>
  <r>
    <s v="ORD-50"/>
    <d v="2023-03-03T00:00:00"/>
    <x v="1"/>
    <x v="2"/>
    <s v="5"/>
    <s v="1000"/>
    <x v="1"/>
    <s v="urgent"/>
    <n v="5000"/>
  </r>
  <r>
    <s v="ORD-51"/>
    <d v="2023-04-15T00:00:00"/>
    <x v="1"/>
    <x v="1"/>
    <s v="5"/>
    <s v="1000"/>
    <x v="3"/>
    <m/>
    <n v="5000"/>
  </r>
  <r>
    <s v="ORD-52"/>
    <d v="2023-09-24T00:00:00"/>
    <x v="3"/>
    <x v="0"/>
    <s v="3"/>
    <s v="700"/>
    <x v="3"/>
    <s v="urgent"/>
    <n v="2100"/>
  </r>
  <r>
    <s v="ORD-53"/>
    <d v="2023-02-09T00:00:00"/>
    <x v="1"/>
    <x v="2"/>
    <s v="4"/>
    <s v="700"/>
    <x v="0"/>
    <s v="urgent"/>
    <n v="2800"/>
  </r>
  <r>
    <s v="ORD-54"/>
    <d v="2023-01-26T00:00:00"/>
    <x v="2"/>
    <x v="2"/>
    <s v="3"/>
    <s v="500"/>
    <x v="3"/>
    <m/>
    <n v="1500"/>
  </r>
  <r>
    <s v="ORD-55"/>
    <d v="2023-10-12T00:00:00"/>
    <x v="0"/>
    <x v="1"/>
    <s v="2"/>
    <s v="500"/>
    <x v="3"/>
    <s v="urgent"/>
    <n v="1000"/>
  </r>
  <r>
    <s v="ORD-56"/>
    <d v="2023-06-08T00:00:00"/>
    <x v="3"/>
    <x v="1"/>
    <s v="3"/>
    <s v="700"/>
    <x v="3"/>
    <m/>
    <n v="2100"/>
  </r>
  <r>
    <s v="ORD-57"/>
    <d v="2023-09-04T00:00:00"/>
    <x v="2"/>
    <x v="2"/>
    <s v="5"/>
    <s v="1000"/>
    <x v="3"/>
    <s v="urgent"/>
    <n v="5000"/>
  </r>
  <r>
    <s v="ORD-58"/>
    <d v="2023-09-06T00:00:00"/>
    <x v="3"/>
    <x v="3"/>
    <s v="3"/>
    <s v="700"/>
    <x v="0"/>
    <m/>
    <n v="2100"/>
  </r>
  <r>
    <s v="ORD-59"/>
    <d v="2023-04-20T00:00:00"/>
    <x v="1"/>
    <x v="1"/>
    <s v="3"/>
    <s v="700"/>
    <x v="3"/>
    <s v="urgent"/>
    <n v="2100"/>
  </r>
  <r>
    <s v="ORD-60"/>
    <d v="2023-10-24T00:00:00"/>
    <x v="1"/>
    <x v="3"/>
    <s v="1"/>
    <s v="700"/>
    <x v="3"/>
    <s v="urgent"/>
    <n v="700"/>
  </r>
  <r>
    <s v="ORD-61"/>
    <d v="2023-01-29T00:00:00"/>
    <x v="2"/>
    <x v="1"/>
    <s v="5"/>
    <s v="1000"/>
    <x v="3"/>
    <s v="urgent"/>
    <n v="5000"/>
  </r>
  <r>
    <s v="ORD-62"/>
    <d v="2023-09-28T00:00:00"/>
    <x v="0"/>
    <x v="2"/>
    <s v="3"/>
    <s v="1000"/>
    <x v="3"/>
    <m/>
    <n v="3000"/>
  </r>
  <r>
    <s v="ORD-63"/>
    <d v="2023-08-14T00:00:00"/>
    <x v="0"/>
    <x v="0"/>
    <s v="1"/>
    <s v="1000"/>
    <x v="1"/>
    <s v="urgent"/>
    <n v="1000"/>
  </r>
  <r>
    <s v="ORD-64"/>
    <d v="2023-01-13T00:00:00"/>
    <x v="1"/>
    <x v="1"/>
    <s v="4"/>
    <s v="700"/>
    <x v="3"/>
    <s v="urgent"/>
    <n v="2800"/>
  </r>
  <r>
    <s v="ORD-65"/>
    <d v="2023-09-16T00:00:00"/>
    <x v="1"/>
    <x v="2"/>
    <s v="5"/>
    <s v="1000"/>
    <x v="2"/>
    <s v="urgent"/>
    <n v="5000"/>
  </r>
  <r>
    <s v="ORD-66"/>
    <d v="2023-05-04T00:00:00"/>
    <x v="1"/>
    <x v="2"/>
    <s v="3"/>
    <s v="1000"/>
    <x v="1"/>
    <s v="urgent"/>
    <n v="3000"/>
  </r>
  <r>
    <s v="ORD-67"/>
    <d v="2023-07-07T00:00:00"/>
    <x v="2"/>
    <x v="3"/>
    <s v="3"/>
    <s v="700"/>
    <x v="2"/>
    <s v="urgent"/>
    <n v="2100"/>
  </r>
  <r>
    <s v="ORD-68"/>
    <d v="2023-09-20T00:00:00"/>
    <x v="2"/>
    <x v="0"/>
    <s v="3"/>
    <s v="700"/>
    <x v="1"/>
    <s v="urgent"/>
    <n v="2100"/>
  </r>
  <r>
    <s v="ORD-69"/>
    <d v="2023-06-16T00:00:00"/>
    <x v="2"/>
    <x v="1"/>
    <s v="5"/>
    <s v="700"/>
    <x v="1"/>
    <s v="urgent"/>
    <n v="3500"/>
  </r>
  <r>
    <s v="ORD-70"/>
    <d v="2023-06-08T00:00:00"/>
    <x v="0"/>
    <x v="1"/>
    <s v="4"/>
    <s v="500"/>
    <x v="2"/>
    <s v="urgent"/>
    <n v="2000"/>
  </r>
  <r>
    <s v="ORD-71"/>
    <d v="2023-04-29T00:00:00"/>
    <x v="1"/>
    <x v="3"/>
    <s v="1"/>
    <s v="1000"/>
    <x v="3"/>
    <s v="urgent"/>
    <n v="1000"/>
  </r>
  <r>
    <s v="ORD-72"/>
    <d v="2023-09-19T00:00:00"/>
    <x v="0"/>
    <x v="1"/>
    <s v="3"/>
    <s v="700"/>
    <x v="3"/>
    <s v="urgent"/>
    <n v="2100"/>
  </r>
  <r>
    <s v="ORD-73"/>
    <d v="2023-02-04T00:00:00"/>
    <x v="1"/>
    <x v="0"/>
    <s v="1"/>
    <s v="700"/>
    <x v="2"/>
    <s v="urgent"/>
    <n v="700"/>
  </r>
  <r>
    <s v="ORD-74"/>
    <d v="2023-09-12T00:00:00"/>
    <x v="2"/>
    <x v="2"/>
    <s v="3"/>
    <s v="700"/>
    <x v="0"/>
    <m/>
    <n v="2100"/>
  </r>
  <r>
    <s v="ORD-75"/>
    <d v="2023-05-09T00:00:00"/>
    <x v="2"/>
    <x v="2"/>
    <s v="3"/>
    <s v="700"/>
    <x v="0"/>
    <s v="urgent"/>
    <n v="2100"/>
  </r>
  <r>
    <s v="ORD-76"/>
    <d v="2023-11-06T00:00:00"/>
    <x v="2"/>
    <x v="0"/>
    <s v="5"/>
    <s v="1000"/>
    <x v="3"/>
    <s v="urgent"/>
    <n v="5000"/>
  </r>
  <r>
    <s v="ORD-77"/>
    <d v="2023-03-27T00:00:00"/>
    <x v="0"/>
    <x v="3"/>
    <s v="4"/>
    <s v="1000"/>
    <x v="2"/>
    <m/>
    <n v="4000"/>
  </r>
  <r>
    <s v="ORD-78"/>
    <d v="2023-03-08T00:00:00"/>
    <x v="3"/>
    <x v="3"/>
    <s v="4"/>
    <s v="1000"/>
    <x v="2"/>
    <s v="urgent"/>
    <n v="4000"/>
  </r>
  <r>
    <s v="ORD-79"/>
    <d v="2023-04-22T00:00:00"/>
    <x v="0"/>
    <x v="1"/>
    <s v="5"/>
    <s v="1000"/>
    <x v="2"/>
    <s v="urgent"/>
    <n v="5000"/>
  </r>
  <r>
    <s v="ORD-80"/>
    <d v="2023-02-20T00:00:00"/>
    <x v="2"/>
    <x v="3"/>
    <s v="3"/>
    <s v="1000"/>
    <x v="3"/>
    <s v="urgent"/>
    <n v="3000"/>
  </r>
  <r>
    <s v="ORD-81"/>
    <d v="2023-12-27T00:00:00"/>
    <x v="3"/>
    <x v="1"/>
    <s v="3"/>
    <s v="500"/>
    <x v="3"/>
    <s v="urgent"/>
    <n v="1500"/>
  </r>
  <r>
    <s v="ORD-82"/>
    <d v="2023-04-09T00:00:00"/>
    <x v="1"/>
    <x v="0"/>
    <s v="3"/>
    <s v="500"/>
    <x v="1"/>
    <m/>
    <n v="1500"/>
  </r>
  <r>
    <s v="ORD-83"/>
    <d v="2023-03-01T00:00:00"/>
    <x v="2"/>
    <x v="0"/>
    <s v="2"/>
    <s v="1000"/>
    <x v="0"/>
    <s v="urgent"/>
    <n v="2000"/>
  </r>
  <r>
    <s v="ORD-84"/>
    <d v="2023-05-27T00:00:00"/>
    <x v="3"/>
    <x v="2"/>
    <s v="2"/>
    <s v="500"/>
    <x v="0"/>
    <m/>
    <n v="1000"/>
  </r>
  <r>
    <s v="ORD-85"/>
    <d v="2023-06-28T00:00:00"/>
    <x v="0"/>
    <x v="2"/>
    <s v="2"/>
    <s v="500"/>
    <x v="3"/>
    <s v="urgent"/>
    <n v="1000"/>
  </r>
  <r>
    <s v="ORD-86"/>
    <d v="2023-10-31T00:00:00"/>
    <x v="3"/>
    <x v="1"/>
    <s v="5"/>
    <s v="700"/>
    <x v="1"/>
    <s v="urgent"/>
    <n v="3500"/>
  </r>
  <r>
    <s v="ORD-87"/>
    <d v="2023-08-26T00:00:00"/>
    <x v="3"/>
    <x v="0"/>
    <s v="3"/>
    <s v="500"/>
    <x v="2"/>
    <s v="urgent"/>
    <n v="1500"/>
  </r>
  <r>
    <s v="ORD-88"/>
    <d v="2023-10-27T00:00:00"/>
    <x v="1"/>
    <x v="0"/>
    <s v="5"/>
    <s v="1000"/>
    <x v="3"/>
    <s v="urgent"/>
    <n v="5000"/>
  </r>
  <r>
    <s v="ORD-89"/>
    <d v="2023-06-30T00:00:00"/>
    <x v="3"/>
    <x v="3"/>
    <s v="2"/>
    <s v="700"/>
    <x v="1"/>
    <m/>
    <n v="1400"/>
  </r>
  <r>
    <s v="ORD-90"/>
    <d v="2023-06-19T00:00:00"/>
    <x v="2"/>
    <x v="0"/>
    <s v="5"/>
    <s v="500"/>
    <x v="3"/>
    <s v="urgent"/>
    <n v="2500"/>
  </r>
  <r>
    <s v="ORD-91"/>
    <d v="2023-07-22T00:00:00"/>
    <x v="2"/>
    <x v="0"/>
    <s v="3"/>
    <s v="700"/>
    <x v="2"/>
    <s v="urgent"/>
    <n v="2100"/>
  </r>
  <r>
    <s v="ORD-92"/>
    <d v="2023-03-22T00:00:00"/>
    <x v="2"/>
    <x v="3"/>
    <s v="3"/>
    <s v="1000"/>
    <x v="2"/>
    <s v="urgent"/>
    <n v="3000"/>
  </r>
  <r>
    <s v="ORD-93"/>
    <d v="2023-07-18T00:00:00"/>
    <x v="0"/>
    <x v="1"/>
    <s v="3"/>
    <s v="1000"/>
    <x v="2"/>
    <m/>
    <n v="3000"/>
  </r>
  <r>
    <s v="ORD-94"/>
    <d v="2023-09-05T00:00:00"/>
    <x v="2"/>
    <x v="3"/>
    <s v="2"/>
    <s v="500"/>
    <x v="1"/>
    <s v="urgent"/>
    <n v="1000"/>
  </r>
  <r>
    <s v="ORD-95"/>
    <d v="2023-01-20T00:00:00"/>
    <x v="3"/>
    <x v="0"/>
    <s v="5"/>
    <s v="1000"/>
    <x v="0"/>
    <s v="urgent"/>
    <n v="5000"/>
  </r>
  <r>
    <s v="ORD-96"/>
    <d v="2023-07-28T00:00:00"/>
    <x v="0"/>
    <x v="2"/>
    <s v="4"/>
    <s v="1000"/>
    <x v="1"/>
    <s v="urgent"/>
    <n v="4000"/>
  </r>
  <r>
    <s v="ORD-97"/>
    <d v="2023-04-24T00:00:00"/>
    <x v="2"/>
    <x v="2"/>
    <s v="5"/>
    <s v="700"/>
    <x v="2"/>
    <m/>
    <n v="3500"/>
  </r>
  <r>
    <s v="ORD-98"/>
    <d v="2023-02-05T00:00:00"/>
    <x v="3"/>
    <x v="1"/>
    <s v="4"/>
    <s v="1000"/>
    <x v="0"/>
    <m/>
    <n v="4000"/>
  </r>
  <r>
    <s v="ORD-99"/>
    <d v="2023-07-11T00:00:00"/>
    <x v="1"/>
    <x v="0"/>
    <s v="3"/>
    <s v="1000"/>
    <x v="0"/>
    <m/>
    <n v="3000"/>
  </r>
  <r>
    <s v="ORD-100"/>
    <d v="2023-06-25T00:00:00"/>
    <x v="1"/>
    <x v="1"/>
    <s v="5"/>
    <s v="1000"/>
    <x v="1"/>
    <s v="urgent"/>
    <n v="5000"/>
  </r>
  <r>
    <s v="ORD-101"/>
    <d v="2023-04-21T00:00:00"/>
    <x v="2"/>
    <x v="1"/>
    <s v="1"/>
    <s v="700"/>
    <x v="1"/>
    <m/>
    <n v="700"/>
  </r>
  <r>
    <s v="ORD-102"/>
    <d v="2023-03-21T00:00:00"/>
    <x v="0"/>
    <x v="0"/>
    <s v="1"/>
    <s v="700"/>
    <x v="1"/>
    <m/>
    <n v="700"/>
  </r>
  <r>
    <s v="ORD-103"/>
    <d v="2023-12-14T00:00:00"/>
    <x v="3"/>
    <x v="3"/>
    <s v="4"/>
    <s v="700"/>
    <x v="2"/>
    <s v="urgent"/>
    <n v="2800"/>
  </r>
  <r>
    <s v="ORD-104"/>
    <d v="2023-01-23T00:00:00"/>
    <x v="3"/>
    <x v="3"/>
    <s v="2"/>
    <s v="700"/>
    <x v="3"/>
    <s v="urgent"/>
    <n v="1400"/>
  </r>
  <r>
    <s v="ORD-105"/>
    <d v="2023-03-06T00:00:00"/>
    <x v="3"/>
    <x v="1"/>
    <s v="2"/>
    <s v="500"/>
    <x v="3"/>
    <s v="urgent"/>
    <n v="1000"/>
  </r>
  <r>
    <s v="ORD-106"/>
    <d v="2023-02-14T00:00:00"/>
    <x v="0"/>
    <x v="2"/>
    <s v="4"/>
    <s v="700"/>
    <x v="1"/>
    <m/>
    <n v="2800"/>
  </r>
  <r>
    <s v="ORD-107"/>
    <d v="2023-04-03T00:00:00"/>
    <x v="2"/>
    <x v="0"/>
    <s v="5"/>
    <s v="500"/>
    <x v="1"/>
    <s v="urgent"/>
    <n v="2500"/>
  </r>
  <r>
    <s v="ORD-108"/>
    <d v="2023-11-27T00:00:00"/>
    <x v="0"/>
    <x v="0"/>
    <s v="5"/>
    <s v="500"/>
    <x v="0"/>
    <s v="urgent"/>
    <n v="2500"/>
  </r>
  <r>
    <s v="ORD-109"/>
    <d v="2023-07-16T00:00:00"/>
    <x v="0"/>
    <x v="2"/>
    <s v="5"/>
    <s v="700"/>
    <x v="1"/>
    <s v="urgent"/>
    <n v="3500"/>
  </r>
  <r>
    <s v="ORD-110"/>
    <d v="2023-09-25T00:00:00"/>
    <x v="0"/>
    <x v="3"/>
    <s v="2"/>
    <s v="500"/>
    <x v="0"/>
    <s v="urgent"/>
    <n v="1000"/>
  </r>
  <r>
    <s v="ORD-111"/>
    <d v="2023-06-07T00:00:00"/>
    <x v="0"/>
    <x v="2"/>
    <s v="5"/>
    <s v="700"/>
    <x v="0"/>
    <s v="urgent"/>
    <n v="3500"/>
  </r>
  <r>
    <s v="ORD-112"/>
    <d v="2023-02-28T00:00:00"/>
    <x v="3"/>
    <x v="1"/>
    <s v="3"/>
    <s v="1000"/>
    <x v="1"/>
    <s v="urgent"/>
    <n v="3000"/>
  </r>
  <r>
    <s v="ORD-113"/>
    <d v="2023-10-04T00:00:00"/>
    <x v="3"/>
    <x v="1"/>
    <s v="2"/>
    <s v="700"/>
    <x v="0"/>
    <m/>
    <n v="1400"/>
  </r>
  <r>
    <s v="ORD-114"/>
    <d v="2023-08-25T00:00:00"/>
    <x v="0"/>
    <x v="0"/>
    <s v="3"/>
    <s v="1000"/>
    <x v="0"/>
    <s v="urgent"/>
    <n v="3000"/>
  </r>
  <r>
    <s v="ORD-115"/>
    <d v="2023-01-22T00:00:00"/>
    <x v="2"/>
    <x v="2"/>
    <s v="3"/>
    <s v="700"/>
    <x v="2"/>
    <m/>
    <n v="2100"/>
  </r>
  <r>
    <s v="ORD-116"/>
    <d v="2023-12-02T00:00:00"/>
    <x v="1"/>
    <x v="0"/>
    <s v="4"/>
    <s v="700"/>
    <x v="2"/>
    <s v="urgent"/>
    <n v="2800"/>
  </r>
  <r>
    <s v="ORD-117"/>
    <d v="2023-11-06T00:00:00"/>
    <x v="2"/>
    <x v="1"/>
    <s v="5"/>
    <s v="700"/>
    <x v="1"/>
    <s v="urgent"/>
    <n v="3500"/>
  </r>
  <r>
    <s v="ORD-118"/>
    <d v="2023-07-15T00:00:00"/>
    <x v="3"/>
    <x v="3"/>
    <s v="3"/>
    <s v="1000"/>
    <x v="2"/>
    <m/>
    <n v="3000"/>
  </r>
  <r>
    <s v="ORD-119"/>
    <d v="2023-07-17T00:00:00"/>
    <x v="2"/>
    <x v="2"/>
    <s v="5"/>
    <s v="700"/>
    <x v="2"/>
    <s v="urgent"/>
    <n v="3500"/>
  </r>
  <r>
    <s v="ORD-120"/>
    <d v="2023-12-19T00:00:00"/>
    <x v="1"/>
    <x v="1"/>
    <s v="5"/>
    <s v="500"/>
    <x v="3"/>
    <s v="urgent"/>
    <n v="2500"/>
  </r>
  <r>
    <s v="ORD-121"/>
    <d v="2023-02-14T00:00:00"/>
    <x v="2"/>
    <x v="1"/>
    <s v="5"/>
    <s v="1000"/>
    <x v="1"/>
    <s v="urgent"/>
    <n v="5000"/>
  </r>
  <r>
    <s v="ORD-122"/>
    <d v="2023-05-23T00:00:00"/>
    <x v="2"/>
    <x v="0"/>
    <s v="3"/>
    <s v="500"/>
    <x v="2"/>
    <s v="urgent"/>
    <n v="1500"/>
  </r>
  <r>
    <s v="ORD-123"/>
    <d v="2023-05-11T00:00:00"/>
    <x v="2"/>
    <x v="3"/>
    <s v="5"/>
    <s v="700"/>
    <x v="0"/>
    <m/>
    <n v="3500"/>
  </r>
  <r>
    <s v="ORD-124"/>
    <d v="2023-04-13T00:00:00"/>
    <x v="2"/>
    <x v="0"/>
    <s v="4"/>
    <s v="500"/>
    <x v="2"/>
    <s v="urgent"/>
    <n v="2000"/>
  </r>
  <r>
    <s v="ORD-125"/>
    <d v="2023-10-27T00:00:00"/>
    <x v="3"/>
    <x v="2"/>
    <s v="3"/>
    <s v="1000"/>
    <x v="0"/>
    <s v="urgent"/>
    <n v="3000"/>
  </r>
  <r>
    <s v="ORD-126"/>
    <d v="2023-02-18T00:00:00"/>
    <x v="2"/>
    <x v="2"/>
    <s v="5"/>
    <s v="700"/>
    <x v="0"/>
    <s v="urgent"/>
    <n v="3500"/>
  </r>
  <r>
    <s v="ORD-127"/>
    <d v="2023-04-08T00:00:00"/>
    <x v="3"/>
    <x v="2"/>
    <s v="4"/>
    <s v="1000"/>
    <x v="3"/>
    <s v="urgent"/>
    <n v="4000"/>
  </r>
  <r>
    <s v="ORD-128"/>
    <d v="2023-02-15T00:00:00"/>
    <x v="0"/>
    <x v="2"/>
    <s v="2"/>
    <s v="1000"/>
    <x v="3"/>
    <m/>
    <n v="2000"/>
  </r>
  <r>
    <s v="ORD-129"/>
    <d v="2023-01-29T00:00:00"/>
    <x v="0"/>
    <x v="1"/>
    <s v="5"/>
    <s v="700"/>
    <x v="1"/>
    <m/>
    <n v="3500"/>
  </r>
  <r>
    <s v="ORD-130"/>
    <d v="2023-05-10T00:00:00"/>
    <x v="1"/>
    <x v="2"/>
    <s v="2"/>
    <s v="700"/>
    <x v="2"/>
    <s v="urgent"/>
    <n v="1400"/>
  </r>
  <r>
    <s v="ORD-131"/>
    <d v="2023-04-19T00:00:00"/>
    <x v="3"/>
    <x v="1"/>
    <s v="4"/>
    <s v="500"/>
    <x v="1"/>
    <m/>
    <n v="2000"/>
  </r>
  <r>
    <s v="ORD-132"/>
    <d v="2023-02-23T00:00:00"/>
    <x v="0"/>
    <x v="2"/>
    <s v="5"/>
    <s v="700"/>
    <x v="1"/>
    <s v="urgent"/>
    <n v="3500"/>
  </r>
  <r>
    <s v="ORD-133"/>
    <d v="2023-11-20T00:00:00"/>
    <x v="3"/>
    <x v="3"/>
    <s v="1"/>
    <s v="700"/>
    <x v="1"/>
    <s v="urgent"/>
    <n v="700"/>
  </r>
  <r>
    <s v="ORD-134"/>
    <d v="2023-05-22T00:00:00"/>
    <x v="2"/>
    <x v="1"/>
    <s v="4"/>
    <s v="1000"/>
    <x v="1"/>
    <s v="urgent"/>
    <n v="4000"/>
  </r>
  <r>
    <s v="ORD-135"/>
    <d v="2023-08-02T00:00:00"/>
    <x v="2"/>
    <x v="3"/>
    <s v="2"/>
    <s v="700"/>
    <x v="3"/>
    <s v="urgent"/>
    <n v="1400"/>
  </r>
  <r>
    <s v="ORD-136"/>
    <d v="2023-07-29T00:00:00"/>
    <x v="3"/>
    <x v="2"/>
    <s v="3"/>
    <s v="500"/>
    <x v="3"/>
    <m/>
    <n v="1500"/>
  </r>
  <r>
    <s v="ORD-137"/>
    <d v="2023-12-24T00:00:00"/>
    <x v="1"/>
    <x v="1"/>
    <s v="2"/>
    <s v="700"/>
    <x v="3"/>
    <m/>
    <n v="1400"/>
  </r>
  <r>
    <s v="ORD-138"/>
    <d v="2023-04-02T00:00:00"/>
    <x v="2"/>
    <x v="1"/>
    <s v="5"/>
    <s v="1000"/>
    <x v="1"/>
    <m/>
    <n v="5000"/>
  </r>
  <r>
    <s v="ORD-139"/>
    <d v="2023-11-26T00:00:00"/>
    <x v="2"/>
    <x v="1"/>
    <s v="5"/>
    <s v="1000"/>
    <x v="3"/>
    <s v="urgent"/>
    <n v="5000"/>
  </r>
  <r>
    <s v="ORD-140"/>
    <d v="2023-07-21T00:00:00"/>
    <x v="1"/>
    <x v="2"/>
    <s v="2"/>
    <s v="700"/>
    <x v="1"/>
    <m/>
    <n v="1400"/>
  </r>
  <r>
    <s v="ORD-141"/>
    <d v="2023-09-25T00:00:00"/>
    <x v="2"/>
    <x v="0"/>
    <s v="3"/>
    <s v="1000"/>
    <x v="3"/>
    <m/>
    <n v="3000"/>
  </r>
  <r>
    <s v="ORD-142"/>
    <d v="2023-12-13T00:00:00"/>
    <x v="3"/>
    <x v="0"/>
    <s v="5"/>
    <s v="1000"/>
    <x v="1"/>
    <m/>
    <n v="5000"/>
  </r>
  <r>
    <s v="ORD-143"/>
    <d v="2023-06-01T00:00:00"/>
    <x v="3"/>
    <x v="1"/>
    <s v="5"/>
    <s v="500"/>
    <x v="3"/>
    <s v="urgent"/>
    <n v="2500"/>
  </r>
  <r>
    <s v="ORD-144"/>
    <d v="2023-11-29T00:00:00"/>
    <x v="0"/>
    <x v="3"/>
    <s v="5"/>
    <s v="1000"/>
    <x v="0"/>
    <m/>
    <n v="5000"/>
  </r>
  <r>
    <s v="ORD-145"/>
    <d v="2023-07-31T00:00:00"/>
    <x v="0"/>
    <x v="0"/>
    <s v="3"/>
    <s v="1000"/>
    <x v="0"/>
    <m/>
    <n v="3000"/>
  </r>
  <r>
    <s v="ORD-146"/>
    <d v="2023-10-10T00:00:00"/>
    <x v="0"/>
    <x v="0"/>
    <s v="4"/>
    <s v="500"/>
    <x v="2"/>
    <m/>
    <n v="2000"/>
  </r>
  <r>
    <s v="ORD-147"/>
    <d v="2023-06-25T00:00:00"/>
    <x v="2"/>
    <x v="0"/>
    <s v="5"/>
    <s v="700"/>
    <x v="2"/>
    <s v="urgent"/>
    <n v="3500"/>
  </r>
  <r>
    <s v="ORD-148"/>
    <d v="2023-09-20T00:00:00"/>
    <x v="3"/>
    <x v="2"/>
    <s v="5"/>
    <s v="1000"/>
    <x v="0"/>
    <s v="urgent"/>
    <n v="5000"/>
  </r>
  <r>
    <s v="ORD-149"/>
    <d v="2023-01-13T00:00:00"/>
    <x v="2"/>
    <x v="1"/>
    <s v="3"/>
    <s v="700"/>
    <x v="1"/>
    <s v="urgent"/>
    <n v="2100"/>
  </r>
  <r>
    <s v="ORD-150"/>
    <d v="2023-03-08T00:00:00"/>
    <x v="3"/>
    <x v="0"/>
    <s v="4"/>
    <s v="700"/>
    <x v="3"/>
    <m/>
    <n v="2800"/>
  </r>
  <r>
    <s v="ORD-151"/>
    <d v="2023-03-18T00:00:00"/>
    <x v="1"/>
    <x v="1"/>
    <s v="5"/>
    <s v="700"/>
    <x v="1"/>
    <s v="urgent"/>
    <n v="3500"/>
  </r>
  <r>
    <s v="ORD-152"/>
    <d v="2023-03-01T00:00:00"/>
    <x v="1"/>
    <x v="2"/>
    <s v="3"/>
    <s v="700"/>
    <x v="2"/>
    <s v="urgent"/>
    <n v="2100"/>
  </r>
  <r>
    <s v="ORD-153"/>
    <d v="2023-08-01T00:00:00"/>
    <x v="0"/>
    <x v="0"/>
    <s v="2"/>
    <s v="700"/>
    <x v="0"/>
    <s v="urgent"/>
    <n v="1400"/>
  </r>
  <r>
    <s v="ORD-154"/>
    <d v="2023-04-19T00:00:00"/>
    <x v="2"/>
    <x v="0"/>
    <s v="5"/>
    <s v="1000"/>
    <x v="2"/>
    <s v="urgent"/>
    <n v="5000"/>
  </r>
  <r>
    <s v="ORD-155"/>
    <d v="2023-07-10T00:00:00"/>
    <x v="1"/>
    <x v="0"/>
    <s v="1"/>
    <s v="500"/>
    <x v="0"/>
    <m/>
    <n v="500"/>
  </r>
  <r>
    <s v="ORD-156"/>
    <d v="2023-09-26T00:00:00"/>
    <x v="2"/>
    <x v="2"/>
    <s v="3"/>
    <s v="1000"/>
    <x v="1"/>
    <m/>
    <n v="3000"/>
  </r>
  <r>
    <s v="ORD-157"/>
    <d v="2023-03-19T00:00:00"/>
    <x v="2"/>
    <x v="2"/>
    <s v="3"/>
    <s v="1000"/>
    <x v="1"/>
    <s v="urgent"/>
    <n v="3000"/>
  </r>
  <r>
    <s v="ORD-158"/>
    <d v="2023-02-18T00:00:00"/>
    <x v="2"/>
    <x v="2"/>
    <s v="1"/>
    <s v="700"/>
    <x v="0"/>
    <s v="urgent"/>
    <n v="700"/>
  </r>
  <r>
    <s v="ORD-159"/>
    <d v="2023-06-20T00:00:00"/>
    <x v="0"/>
    <x v="1"/>
    <s v="4"/>
    <s v="500"/>
    <x v="1"/>
    <s v="urgent"/>
    <n v="2000"/>
  </r>
  <r>
    <s v="ORD-160"/>
    <d v="2023-10-28T00:00:00"/>
    <x v="0"/>
    <x v="3"/>
    <s v="4"/>
    <s v="700"/>
    <x v="3"/>
    <m/>
    <n v="2800"/>
  </r>
  <r>
    <s v="ORD-161"/>
    <d v="2023-07-16T00:00:00"/>
    <x v="1"/>
    <x v="1"/>
    <s v="5"/>
    <s v="700"/>
    <x v="2"/>
    <s v="urgent"/>
    <n v="3500"/>
  </r>
  <r>
    <s v="ORD-162"/>
    <d v="2023-09-20T00:00:00"/>
    <x v="2"/>
    <x v="3"/>
    <s v="5"/>
    <s v="700"/>
    <x v="0"/>
    <m/>
    <n v="3500"/>
  </r>
  <r>
    <s v="ORD-163"/>
    <d v="2023-11-13T00:00:00"/>
    <x v="0"/>
    <x v="0"/>
    <s v="1"/>
    <s v="700"/>
    <x v="3"/>
    <s v="urgent"/>
    <n v="700"/>
  </r>
  <r>
    <s v="ORD-164"/>
    <d v="2023-08-19T00:00:00"/>
    <x v="1"/>
    <x v="0"/>
    <s v="1"/>
    <s v="700"/>
    <x v="1"/>
    <s v="urgent"/>
    <n v="700"/>
  </r>
  <r>
    <s v="ORD-165"/>
    <d v="2023-12-19T00:00:00"/>
    <x v="0"/>
    <x v="0"/>
    <s v="2"/>
    <s v="1000"/>
    <x v="3"/>
    <m/>
    <n v="2000"/>
  </r>
  <r>
    <s v="ORD-166"/>
    <d v="2023-12-13T00:00:00"/>
    <x v="2"/>
    <x v="0"/>
    <s v="2"/>
    <s v="1000"/>
    <x v="3"/>
    <s v="urgent"/>
    <n v="2000"/>
  </r>
  <r>
    <s v="ORD-167"/>
    <d v="2023-11-20T00:00:00"/>
    <x v="1"/>
    <x v="3"/>
    <s v="3"/>
    <s v="1000"/>
    <x v="3"/>
    <s v="urgent"/>
    <n v="3000"/>
  </r>
  <r>
    <s v="ORD-168"/>
    <d v="2023-01-30T00:00:00"/>
    <x v="2"/>
    <x v="3"/>
    <s v="4"/>
    <s v="1000"/>
    <x v="0"/>
    <m/>
    <n v="4000"/>
  </r>
  <r>
    <s v="ORD-169"/>
    <d v="2023-07-16T00:00:00"/>
    <x v="2"/>
    <x v="2"/>
    <s v="2"/>
    <s v="700"/>
    <x v="1"/>
    <s v="urgent"/>
    <n v="1400"/>
  </r>
  <r>
    <s v="ORD-170"/>
    <d v="2023-10-03T00:00:00"/>
    <x v="1"/>
    <x v="0"/>
    <s v="5"/>
    <s v="500"/>
    <x v="3"/>
    <m/>
    <n v="2500"/>
  </r>
  <r>
    <s v="ORD-171"/>
    <d v="2023-12-30T00:00:00"/>
    <x v="3"/>
    <x v="2"/>
    <s v="3"/>
    <s v="1000"/>
    <x v="0"/>
    <m/>
    <n v="3000"/>
  </r>
  <r>
    <s v="ORD-172"/>
    <d v="2023-03-31T00:00:00"/>
    <x v="2"/>
    <x v="3"/>
    <s v="1"/>
    <s v="700"/>
    <x v="3"/>
    <s v="urgent"/>
    <n v="700"/>
  </r>
  <r>
    <s v="ORD-173"/>
    <d v="2023-03-27T00:00:00"/>
    <x v="2"/>
    <x v="1"/>
    <s v="4"/>
    <s v="700"/>
    <x v="0"/>
    <s v="urgent"/>
    <n v="2800"/>
  </r>
  <r>
    <s v="ORD-174"/>
    <d v="2023-10-13T00:00:00"/>
    <x v="1"/>
    <x v="1"/>
    <s v="3"/>
    <s v="700"/>
    <x v="1"/>
    <m/>
    <n v="2100"/>
  </r>
  <r>
    <s v="ORD-175"/>
    <d v="2023-05-22T00:00:00"/>
    <x v="3"/>
    <x v="0"/>
    <s v="1"/>
    <s v="1000"/>
    <x v="0"/>
    <m/>
    <n v="1000"/>
  </r>
  <r>
    <s v="ORD-176"/>
    <d v="2023-12-09T00:00:00"/>
    <x v="2"/>
    <x v="1"/>
    <s v="4"/>
    <s v="500"/>
    <x v="1"/>
    <s v="urgent"/>
    <n v="2000"/>
  </r>
  <r>
    <s v="ORD-177"/>
    <d v="2023-03-25T00:00:00"/>
    <x v="0"/>
    <x v="1"/>
    <s v="3"/>
    <s v="1000"/>
    <x v="2"/>
    <s v="urgent"/>
    <n v="3000"/>
  </r>
  <r>
    <s v="ORD-178"/>
    <d v="2023-12-18T00:00:00"/>
    <x v="2"/>
    <x v="1"/>
    <s v="5"/>
    <s v="500"/>
    <x v="1"/>
    <m/>
    <n v="2500"/>
  </r>
  <r>
    <s v="ORD-179"/>
    <d v="2023-12-27T00:00:00"/>
    <x v="1"/>
    <x v="2"/>
    <s v="3"/>
    <s v="1000"/>
    <x v="2"/>
    <s v="urgent"/>
    <n v="3000"/>
  </r>
  <r>
    <s v="ORD-180"/>
    <d v="2023-07-24T00:00:00"/>
    <x v="2"/>
    <x v="2"/>
    <s v="1"/>
    <s v="700"/>
    <x v="1"/>
    <s v="urgent"/>
    <n v="700"/>
  </r>
  <r>
    <s v="ORD-181"/>
    <d v="2023-02-16T00:00:00"/>
    <x v="0"/>
    <x v="0"/>
    <s v="5"/>
    <s v="1000"/>
    <x v="0"/>
    <s v="urgent"/>
    <n v="5000"/>
  </r>
  <r>
    <s v="ORD-182"/>
    <d v="2023-08-09T00:00:00"/>
    <x v="0"/>
    <x v="2"/>
    <s v="4"/>
    <s v="1000"/>
    <x v="3"/>
    <s v="urgent"/>
    <n v="4000"/>
  </r>
  <r>
    <s v="ORD-183"/>
    <d v="2023-04-20T00:00:00"/>
    <x v="1"/>
    <x v="3"/>
    <s v="5"/>
    <s v="1000"/>
    <x v="1"/>
    <s v="urgent"/>
    <n v="5000"/>
  </r>
  <r>
    <s v="ORD-184"/>
    <d v="2023-04-22T00:00:00"/>
    <x v="0"/>
    <x v="0"/>
    <s v="5"/>
    <s v="700"/>
    <x v="3"/>
    <s v="urgent"/>
    <n v="3500"/>
  </r>
  <r>
    <s v="ORD-185"/>
    <d v="2023-02-28T00:00:00"/>
    <x v="0"/>
    <x v="0"/>
    <s v="3"/>
    <s v="1000"/>
    <x v="0"/>
    <m/>
    <n v="3000"/>
  </r>
  <r>
    <s v="ORD-186"/>
    <d v="2023-04-24T00:00:00"/>
    <x v="1"/>
    <x v="2"/>
    <s v="3"/>
    <s v="500"/>
    <x v="3"/>
    <s v="urgent"/>
    <n v="1500"/>
  </r>
  <r>
    <s v="ORD-187"/>
    <d v="2023-06-02T00:00:00"/>
    <x v="3"/>
    <x v="1"/>
    <s v="3"/>
    <s v="700"/>
    <x v="2"/>
    <s v="urgent"/>
    <n v="2100"/>
  </r>
  <r>
    <s v="ORD-188"/>
    <d v="2023-02-18T00:00:00"/>
    <x v="0"/>
    <x v="3"/>
    <s v="5"/>
    <s v="1000"/>
    <x v="2"/>
    <s v="urgent"/>
    <n v="5000"/>
  </r>
  <r>
    <s v="ORD-189"/>
    <d v="2023-08-25T00:00:00"/>
    <x v="1"/>
    <x v="3"/>
    <s v="3"/>
    <s v="1000"/>
    <x v="3"/>
    <s v="urgent"/>
    <n v="3000"/>
  </r>
  <r>
    <s v="ORD-190"/>
    <d v="2023-06-16T00:00:00"/>
    <x v="3"/>
    <x v="2"/>
    <s v="1"/>
    <s v="700"/>
    <x v="2"/>
    <s v="urgent"/>
    <n v="700"/>
  </r>
  <r>
    <s v="ORD-191"/>
    <d v="2023-02-24T00:00:00"/>
    <x v="1"/>
    <x v="3"/>
    <s v="3"/>
    <s v="1000"/>
    <x v="2"/>
    <s v="urgent"/>
    <n v="3000"/>
  </r>
  <r>
    <s v="ORD-192"/>
    <d v="2023-07-23T00:00:00"/>
    <x v="0"/>
    <x v="1"/>
    <s v="3"/>
    <s v="1000"/>
    <x v="0"/>
    <m/>
    <n v="3000"/>
  </r>
  <r>
    <s v="ORD-193"/>
    <d v="2023-03-12T00:00:00"/>
    <x v="2"/>
    <x v="1"/>
    <s v="3"/>
    <s v="700"/>
    <x v="0"/>
    <s v="urgent"/>
    <n v="2100"/>
  </r>
  <r>
    <s v="ORD-194"/>
    <d v="2023-08-21T00:00:00"/>
    <x v="3"/>
    <x v="1"/>
    <s v="5"/>
    <s v="1000"/>
    <x v="3"/>
    <s v="urgent"/>
    <n v="5000"/>
  </r>
  <r>
    <s v="ORD-195"/>
    <d v="2023-05-13T00:00:00"/>
    <x v="2"/>
    <x v="1"/>
    <s v="2"/>
    <s v="700"/>
    <x v="3"/>
    <m/>
    <n v="1400"/>
  </r>
  <r>
    <s v="ORD-196"/>
    <d v="2023-09-08T00:00:00"/>
    <x v="1"/>
    <x v="1"/>
    <s v="4"/>
    <s v="700"/>
    <x v="3"/>
    <m/>
    <n v="2800"/>
  </r>
  <r>
    <s v="ORD-197"/>
    <d v="2023-10-17T00:00:00"/>
    <x v="3"/>
    <x v="1"/>
    <s v="5"/>
    <s v="1000"/>
    <x v="2"/>
    <m/>
    <n v="5000"/>
  </r>
  <r>
    <s v="ORD-198"/>
    <d v="2023-02-25T00:00:00"/>
    <x v="3"/>
    <x v="1"/>
    <s v="5"/>
    <s v="500"/>
    <x v="2"/>
    <s v="urgent"/>
    <n v="2500"/>
  </r>
  <r>
    <s v="ORD-199"/>
    <d v="2023-10-27T00:00:00"/>
    <x v="0"/>
    <x v="0"/>
    <s v="3"/>
    <s v="700"/>
    <x v="0"/>
    <s v="urgent"/>
    <n v="2100"/>
  </r>
  <r>
    <s v="ORD-200"/>
    <d v="2023-03-06T00:00:00"/>
    <x v="1"/>
    <x v="2"/>
    <s v="5"/>
    <s v="700"/>
    <x v="3"/>
    <m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33D40-5612-4F75-B502-16DF87F663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Region">
  <location ref="B3:C8" firstHeaderRow="1" firstDataRow="1" firstDataCol="1"/>
  <pivotFields count="9">
    <pivotField showAll="0"/>
    <pivotField numFmtId="164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"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Total Revenue" fld="8" baseField="2" baseItem="0" numFmtId="165"/>
  </dataFields>
  <formats count="1">
    <format dxfId="5">
      <pivotArea outline="0" collapsedLevelsAreSubtotals="1" fieldPosition="0"/>
    </format>
  </format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2A2A1-839A-4161-A76D-6F190A23CCB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Rep">
  <location ref="F3:G8" firstHeaderRow="1" firstDataRow="1" firstDataCol="1"/>
  <pivotFields count="9">
    <pivotField showAll="0"/>
    <pivotField numFmtId="164" showAll="0"/>
    <pivotField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</pivotFields>
  <rowFields count="1">
    <field x="6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Sales" fld="8" baseField="6" baseItem="2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6CC4E-E433-4BD6-B33B-A8199C52DB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">
  <location ref="B12:C17" firstHeaderRow="1" firstDataRow="1" firstDataCol="1"/>
  <pivotFields count="9">
    <pivotField showAll="0"/>
    <pivotField numFmtId="164" showAll="0"/>
    <pivotField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numFmtI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2" baseItem="0" numFmtId="165"/>
  </dataFields>
  <formats count="1">
    <format dxfId="7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3A59DE-1B46-48EC-81D7-BCAAB2EF1596}" name="Table2" displayName="Table2" ref="A6:J206" totalsRowShown="0">
  <autoFilter ref="A6:J206" xr:uid="{753A59DE-1B46-48EC-81D7-BCAAB2EF1596}"/>
  <tableColumns count="10">
    <tableColumn id="1" xr3:uid="{FB7A1394-10E4-44AB-A85C-83A2C0724F2F}" name="OrderID"/>
    <tableColumn id="2" xr3:uid="{5B348CE8-0D02-4B6D-84D8-1A238DCAA8C0}" name="OrderDate" dataDxfId="4"/>
    <tableColumn id="10" xr3:uid="{D8556A15-03D1-482E-A9BB-1D3A633B629C}" name="Month" dataDxfId="3">
      <calculatedColumnFormula>TEXT(B7,"MMMM")</calculatedColumnFormula>
    </tableColumn>
    <tableColumn id="3" xr3:uid="{1A8C5E60-63AE-4025-AF4C-328B6AF00F9B}" name="Region" dataDxfId="2"/>
    <tableColumn id="4" xr3:uid="{02B21F6B-2C5F-4D42-AEC6-7C6176AA813D}" name="Product" dataDxfId="1"/>
    <tableColumn id="5" xr3:uid="{C3DB9322-4A2B-46C0-83BC-B1F6514217D8}" name="Quantity"/>
    <tableColumn id="6" xr3:uid="{8B1B5200-6C91-40D3-8D65-F17F46D4DB33}" name="UnitPrice"/>
    <tableColumn id="7" xr3:uid="{4FADDE1F-ECC4-448E-A8D6-CC2F3750AC20}" name="SalesRep"/>
    <tableColumn id="8" xr3:uid="{670A91A3-F90E-49AB-B7B3-AC4FDF09AE88}" name="Notes"/>
    <tableColumn id="9" xr3:uid="{9437FC8B-5D03-4310-8C63-F7204DEF3ED6}" name="Revenue" dataDxfId="0">
      <calculatedColumnFormula>F7*G7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>
      <selection sqref="A1:A1048576"/>
    </sheetView>
  </sheetViews>
  <sheetFormatPr defaultRowHeight="14.4" x14ac:dyDescent="0.3"/>
  <cols>
    <col min="1" max="2" width="13.109375" customWidth="1"/>
    <col min="3" max="3" width="20.109375" customWidth="1"/>
    <col min="4" max="4" width="15.88671875" customWidth="1"/>
    <col min="5" max="5" width="17.77734375" customWidth="1"/>
    <col min="6" max="6" width="18.109375" customWidth="1"/>
    <col min="7" max="7" width="16" customWidth="1"/>
    <col min="8" max="8" width="15.21875" customWidth="1"/>
    <col min="9" max="9" width="18.109375" customWidth="1"/>
  </cols>
  <sheetData>
    <row r="1" spans="1:9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263</v>
      </c>
      <c r="B2">
        <v>1</v>
      </c>
      <c r="C2" s="1">
        <v>45002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263</v>
      </c>
      <c r="B3">
        <v>2</v>
      </c>
      <c r="C3" s="1">
        <v>44980</v>
      </c>
      <c r="D3" t="s">
        <v>16</v>
      </c>
      <c r="E3" t="s">
        <v>17</v>
      </c>
      <c r="F3">
        <v>4</v>
      </c>
      <c r="G3">
        <v>700</v>
      </c>
      <c r="H3" t="s">
        <v>18</v>
      </c>
    </row>
    <row r="4" spans="1:9" x14ac:dyDescent="0.3">
      <c r="A4" t="s">
        <v>263</v>
      </c>
      <c r="B4">
        <v>3</v>
      </c>
      <c r="C4" s="1">
        <v>45189</v>
      </c>
      <c r="D4" t="s">
        <v>20</v>
      </c>
      <c r="E4" t="s">
        <v>17</v>
      </c>
      <c r="F4" t="s">
        <v>11</v>
      </c>
      <c r="G4">
        <v>500</v>
      </c>
      <c r="H4" t="s">
        <v>13</v>
      </c>
      <c r="I4" t="s">
        <v>14</v>
      </c>
    </row>
    <row r="5" spans="1:9" x14ac:dyDescent="0.3">
      <c r="A5" t="s">
        <v>263</v>
      </c>
      <c r="B5">
        <v>4</v>
      </c>
      <c r="C5" s="1">
        <v>45119</v>
      </c>
      <c r="D5" t="s">
        <v>16</v>
      </c>
      <c r="E5" t="s">
        <v>22</v>
      </c>
      <c r="F5">
        <v>5</v>
      </c>
      <c r="G5" t="s">
        <v>23</v>
      </c>
      <c r="H5" t="s">
        <v>24</v>
      </c>
    </row>
    <row r="6" spans="1:9" x14ac:dyDescent="0.3">
      <c r="A6" t="s">
        <v>263</v>
      </c>
      <c r="B6">
        <v>5</v>
      </c>
      <c r="C6" s="1">
        <v>45211</v>
      </c>
      <c r="D6" t="s">
        <v>9</v>
      </c>
      <c r="E6" t="s">
        <v>10</v>
      </c>
      <c r="F6">
        <v>5</v>
      </c>
      <c r="G6" t="s">
        <v>23</v>
      </c>
      <c r="H6" t="s">
        <v>26</v>
      </c>
      <c r="I6" t="s">
        <v>14</v>
      </c>
    </row>
    <row r="7" spans="1:9" x14ac:dyDescent="0.3">
      <c r="A7" t="s">
        <v>263</v>
      </c>
      <c r="B7">
        <v>6</v>
      </c>
      <c r="C7" s="1">
        <v>45213</v>
      </c>
      <c r="D7" t="s">
        <v>28</v>
      </c>
      <c r="E7" t="s">
        <v>29</v>
      </c>
      <c r="F7" t="s">
        <v>11</v>
      </c>
      <c r="G7">
        <v>1000</v>
      </c>
      <c r="H7" t="s">
        <v>24</v>
      </c>
      <c r="I7" t="s">
        <v>14</v>
      </c>
    </row>
    <row r="8" spans="1:9" x14ac:dyDescent="0.3">
      <c r="A8" t="s">
        <v>263</v>
      </c>
      <c r="B8">
        <v>7</v>
      </c>
      <c r="C8" s="1">
        <v>45113</v>
      </c>
      <c r="D8" t="s">
        <v>28</v>
      </c>
      <c r="E8" t="s">
        <v>29</v>
      </c>
      <c r="F8">
        <v>4</v>
      </c>
      <c r="G8">
        <v>700</v>
      </c>
      <c r="H8" t="s">
        <v>24</v>
      </c>
    </row>
    <row r="9" spans="1:9" x14ac:dyDescent="0.3">
      <c r="A9" t="s">
        <v>263</v>
      </c>
      <c r="B9">
        <v>8</v>
      </c>
      <c r="C9" s="1">
        <v>45008</v>
      </c>
      <c r="D9" t="s">
        <v>28</v>
      </c>
      <c r="E9" t="s">
        <v>17</v>
      </c>
      <c r="F9">
        <v>1</v>
      </c>
      <c r="G9">
        <v>700</v>
      </c>
      <c r="H9" t="s">
        <v>26</v>
      </c>
    </row>
    <row r="10" spans="1:9" x14ac:dyDescent="0.3">
      <c r="A10" t="s">
        <v>263</v>
      </c>
      <c r="B10">
        <v>9</v>
      </c>
      <c r="C10" s="1">
        <v>45091</v>
      </c>
      <c r="D10" t="s">
        <v>28</v>
      </c>
      <c r="E10" t="s">
        <v>29</v>
      </c>
      <c r="F10">
        <v>3</v>
      </c>
      <c r="G10" t="s">
        <v>12</v>
      </c>
      <c r="H10" t="s">
        <v>24</v>
      </c>
    </row>
    <row r="11" spans="1:9" x14ac:dyDescent="0.3">
      <c r="A11" t="s">
        <v>263</v>
      </c>
      <c r="B11">
        <v>10</v>
      </c>
      <c r="C11" s="1">
        <v>44966</v>
      </c>
      <c r="D11" t="s">
        <v>16</v>
      </c>
      <c r="E11" t="s">
        <v>29</v>
      </c>
      <c r="F11">
        <v>4</v>
      </c>
      <c r="G11">
        <v>1000</v>
      </c>
      <c r="H11" t="s">
        <v>24</v>
      </c>
    </row>
    <row r="12" spans="1:9" x14ac:dyDescent="0.3">
      <c r="A12" t="s">
        <v>263</v>
      </c>
      <c r="B12">
        <v>11</v>
      </c>
      <c r="C12" s="1">
        <v>45128</v>
      </c>
      <c r="D12" t="s">
        <v>9</v>
      </c>
      <c r="E12" t="s">
        <v>17</v>
      </c>
      <c r="F12">
        <v>1</v>
      </c>
      <c r="G12">
        <v>1000</v>
      </c>
      <c r="H12" t="s">
        <v>13</v>
      </c>
      <c r="I12" t="s">
        <v>14</v>
      </c>
    </row>
    <row r="13" spans="1:9" x14ac:dyDescent="0.3">
      <c r="A13" t="s">
        <v>263</v>
      </c>
      <c r="B13">
        <v>12</v>
      </c>
      <c r="C13" s="1">
        <v>44974</v>
      </c>
      <c r="D13" t="s">
        <v>28</v>
      </c>
      <c r="E13" t="s">
        <v>22</v>
      </c>
      <c r="F13" t="s">
        <v>36</v>
      </c>
      <c r="G13" t="s">
        <v>23</v>
      </c>
      <c r="H13" t="s">
        <v>18</v>
      </c>
      <c r="I13" t="s">
        <v>14</v>
      </c>
    </row>
    <row r="14" spans="1:9" x14ac:dyDescent="0.3">
      <c r="A14" t="s">
        <v>263</v>
      </c>
      <c r="B14">
        <v>13</v>
      </c>
      <c r="C14" s="1">
        <v>45286</v>
      </c>
      <c r="D14" t="s">
        <v>28</v>
      </c>
      <c r="E14" t="s">
        <v>17</v>
      </c>
      <c r="F14" t="s">
        <v>36</v>
      </c>
      <c r="G14" t="s">
        <v>23</v>
      </c>
      <c r="H14" t="s">
        <v>26</v>
      </c>
      <c r="I14" t="s">
        <v>14</v>
      </c>
    </row>
    <row r="15" spans="1:9" x14ac:dyDescent="0.3">
      <c r="A15" t="s">
        <v>263</v>
      </c>
      <c r="B15">
        <v>14</v>
      </c>
      <c r="C15" s="1">
        <v>45249</v>
      </c>
      <c r="D15" t="s">
        <v>16</v>
      </c>
      <c r="E15" t="s">
        <v>10</v>
      </c>
      <c r="F15" t="s">
        <v>11</v>
      </c>
      <c r="G15" t="s">
        <v>23</v>
      </c>
      <c r="H15" t="s">
        <v>24</v>
      </c>
      <c r="I15" t="s">
        <v>14</v>
      </c>
    </row>
    <row r="16" spans="1:9" x14ac:dyDescent="0.3">
      <c r="A16" t="s">
        <v>263</v>
      </c>
      <c r="B16">
        <v>15</v>
      </c>
      <c r="C16" s="1">
        <v>45162</v>
      </c>
      <c r="D16" t="s">
        <v>9</v>
      </c>
      <c r="E16" t="s">
        <v>17</v>
      </c>
      <c r="F16" t="s">
        <v>11</v>
      </c>
      <c r="G16">
        <v>500</v>
      </c>
      <c r="H16" t="s">
        <v>26</v>
      </c>
    </row>
    <row r="17" spans="1:9" x14ac:dyDescent="0.3">
      <c r="A17" t="s">
        <v>263</v>
      </c>
      <c r="B17">
        <v>16</v>
      </c>
      <c r="C17" s="1">
        <v>45262</v>
      </c>
      <c r="D17" t="s">
        <v>16</v>
      </c>
      <c r="E17" t="s">
        <v>22</v>
      </c>
      <c r="F17" t="s">
        <v>36</v>
      </c>
      <c r="G17" t="s">
        <v>23</v>
      </c>
      <c r="H17" t="s">
        <v>18</v>
      </c>
    </row>
    <row r="18" spans="1:9" x14ac:dyDescent="0.3">
      <c r="A18" t="s">
        <v>263</v>
      </c>
      <c r="B18">
        <v>17</v>
      </c>
      <c r="C18" s="1">
        <v>45038</v>
      </c>
      <c r="D18" t="s">
        <v>16</v>
      </c>
      <c r="E18" t="s">
        <v>17</v>
      </c>
      <c r="F18">
        <v>2</v>
      </c>
      <c r="G18" t="s">
        <v>23</v>
      </c>
      <c r="H18" t="s">
        <v>18</v>
      </c>
    </row>
    <row r="19" spans="1:9" x14ac:dyDescent="0.3">
      <c r="A19" t="s">
        <v>263</v>
      </c>
      <c r="B19">
        <v>18</v>
      </c>
      <c r="C19" s="1">
        <v>45132</v>
      </c>
      <c r="D19" t="s">
        <v>20</v>
      </c>
      <c r="E19" t="s">
        <v>29</v>
      </c>
      <c r="F19">
        <v>3</v>
      </c>
      <c r="G19" t="s">
        <v>23</v>
      </c>
      <c r="H19" t="s">
        <v>26</v>
      </c>
      <c r="I19" t="s">
        <v>14</v>
      </c>
    </row>
    <row r="20" spans="1:9" x14ac:dyDescent="0.3">
      <c r="A20" t="s">
        <v>263</v>
      </c>
      <c r="B20">
        <v>19</v>
      </c>
      <c r="C20" s="1">
        <v>45279</v>
      </c>
      <c r="D20" t="s">
        <v>28</v>
      </c>
      <c r="E20" t="s">
        <v>29</v>
      </c>
      <c r="F20">
        <v>3</v>
      </c>
      <c r="G20" t="s">
        <v>23</v>
      </c>
      <c r="H20" t="s">
        <v>26</v>
      </c>
      <c r="I20" t="s">
        <v>14</v>
      </c>
    </row>
    <row r="21" spans="1:9" x14ac:dyDescent="0.3">
      <c r="A21" t="s">
        <v>263</v>
      </c>
      <c r="B21">
        <v>20</v>
      </c>
      <c r="C21" s="1">
        <v>45175</v>
      </c>
      <c r="D21" t="s">
        <v>9</v>
      </c>
      <c r="E21" t="s">
        <v>22</v>
      </c>
      <c r="F21" t="s">
        <v>11</v>
      </c>
      <c r="G21">
        <v>1000</v>
      </c>
      <c r="H21" t="s">
        <v>26</v>
      </c>
      <c r="I21" t="s">
        <v>14</v>
      </c>
    </row>
    <row r="22" spans="1:9" x14ac:dyDescent="0.3">
      <c r="A22" t="s">
        <v>263</v>
      </c>
      <c r="B22">
        <v>21</v>
      </c>
      <c r="C22" s="1">
        <v>45066</v>
      </c>
      <c r="D22" t="s">
        <v>28</v>
      </c>
      <c r="E22" t="s">
        <v>22</v>
      </c>
      <c r="F22">
        <v>3</v>
      </c>
      <c r="G22">
        <v>1000</v>
      </c>
      <c r="H22" t="s">
        <v>18</v>
      </c>
      <c r="I22" t="s">
        <v>14</v>
      </c>
    </row>
    <row r="23" spans="1:9" x14ac:dyDescent="0.3">
      <c r="A23" t="s">
        <v>263</v>
      </c>
      <c r="B23">
        <v>22</v>
      </c>
      <c r="C23" s="1">
        <v>44934</v>
      </c>
      <c r="D23" t="s">
        <v>16</v>
      </c>
      <c r="E23" t="s">
        <v>22</v>
      </c>
      <c r="F23">
        <v>3</v>
      </c>
      <c r="G23">
        <v>500</v>
      </c>
      <c r="H23" t="s">
        <v>24</v>
      </c>
      <c r="I23" t="s">
        <v>14</v>
      </c>
    </row>
    <row r="24" spans="1:9" x14ac:dyDescent="0.3">
      <c r="A24" t="s">
        <v>263</v>
      </c>
      <c r="B24">
        <v>23</v>
      </c>
      <c r="C24" s="1">
        <v>45153</v>
      </c>
      <c r="D24" t="s">
        <v>20</v>
      </c>
      <c r="E24" t="s">
        <v>17</v>
      </c>
      <c r="F24">
        <v>4</v>
      </c>
      <c r="G24">
        <v>500</v>
      </c>
      <c r="H24" t="s">
        <v>18</v>
      </c>
    </row>
    <row r="25" spans="1:9" x14ac:dyDescent="0.3">
      <c r="A25" t="s">
        <v>263</v>
      </c>
      <c r="B25">
        <v>24</v>
      </c>
      <c r="C25" s="1">
        <v>45023</v>
      </c>
      <c r="D25" t="s">
        <v>9</v>
      </c>
      <c r="E25" t="s">
        <v>22</v>
      </c>
      <c r="F25">
        <v>5</v>
      </c>
      <c r="G25">
        <v>700</v>
      </c>
      <c r="H25" t="s">
        <v>18</v>
      </c>
    </row>
    <row r="26" spans="1:9" x14ac:dyDescent="0.3">
      <c r="A26" t="s">
        <v>263</v>
      </c>
      <c r="B26">
        <v>25</v>
      </c>
      <c r="C26" s="1">
        <v>45291</v>
      </c>
      <c r="D26" t="s">
        <v>20</v>
      </c>
      <c r="E26" t="s">
        <v>29</v>
      </c>
      <c r="F26" t="s">
        <v>11</v>
      </c>
      <c r="G26" t="s">
        <v>12</v>
      </c>
      <c r="H26" t="s">
        <v>24</v>
      </c>
    </row>
    <row r="27" spans="1:9" x14ac:dyDescent="0.3">
      <c r="A27" t="s">
        <v>263</v>
      </c>
      <c r="B27">
        <v>26</v>
      </c>
      <c r="C27" s="1">
        <v>44949</v>
      </c>
      <c r="D27" t="s">
        <v>28</v>
      </c>
      <c r="E27" t="s">
        <v>10</v>
      </c>
      <c r="F27">
        <v>4</v>
      </c>
      <c r="G27">
        <v>1000</v>
      </c>
      <c r="H27" t="s">
        <v>24</v>
      </c>
      <c r="I27" t="s">
        <v>14</v>
      </c>
    </row>
    <row r="28" spans="1:9" x14ac:dyDescent="0.3">
      <c r="A28" t="s">
        <v>263</v>
      </c>
      <c r="B28">
        <v>27</v>
      </c>
      <c r="C28" s="1">
        <v>45000</v>
      </c>
      <c r="D28" t="s">
        <v>16</v>
      </c>
      <c r="E28" t="s">
        <v>29</v>
      </c>
      <c r="F28">
        <v>3</v>
      </c>
      <c r="G28" t="s">
        <v>23</v>
      </c>
      <c r="H28" t="s">
        <v>24</v>
      </c>
    </row>
    <row r="29" spans="1:9" x14ac:dyDescent="0.3">
      <c r="A29" t="s">
        <v>263</v>
      </c>
      <c r="B29">
        <v>28</v>
      </c>
      <c r="C29" s="1">
        <v>44947</v>
      </c>
      <c r="D29" t="s">
        <v>28</v>
      </c>
      <c r="E29" t="s">
        <v>10</v>
      </c>
      <c r="F29" t="s">
        <v>36</v>
      </c>
      <c r="G29">
        <v>700</v>
      </c>
      <c r="H29" t="s">
        <v>26</v>
      </c>
      <c r="I29" t="s">
        <v>14</v>
      </c>
    </row>
    <row r="30" spans="1:9" x14ac:dyDescent="0.3">
      <c r="A30" t="s">
        <v>263</v>
      </c>
      <c r="B30">
        <v>29</v>
      </c>
      <c r="C30" s="1">
        <v>45010</v>
      </c>
      <c r="D30" t="s">
        <v>16</v>
      </c>
      <c r="E30" t="s">
        <v>29</v>
      </c>
      <c r="F30">
        <v>1</v>
      </c>
      <c r="G30">
        <v>700</v>
      </c>
      <c r="H30" t="s">
        <v>18</v>
      </c>
      <c r="I30" t="s">
        <v>14</v>
      </c>
    </row>
    <row r="31" spans="1:9" x14ac:dyDescent="0.3">
      <c r="A31" t="s">
        <v>263</v>
      </c>
      <c r="B31">
        <v>30</v>
      </c>
      <c r="C31" s="1">
        <v>45237</v>
      </c>
      <c r="D31" t="s">
        <v>9</v>
      </c>
      <c r="E31" t="s">
        <v>29</v>
      </c>
      <c r="F31">
        <v>5</v>
      </c>
      <c r="G31">
        <v>700</v>
      </c>
      <c r="H31" t="s">
        <v>18</v>
      </c>
      <c r="I31" t="s">
        <v>14</v>
      </c>
    </row>
    <row r="32" spans="1:9" x14ac:dyDescent="0.3">
      <c r="A32" t="s">
        <v>263</v>
      </c>
      <c r="B32">
        <v>31</v>
      </c>
      <c r="C32" s="1">
        <v>45222</v>
      </c>
      <c r="D32" t="s">
        <v>28</v>
      </c>
      <c r="E32" t="s">
        <v>10</v>
      </c>
      <c r="F32">
        <v>3</v>
      </c>
      <c r="G32" t="s">
        <v>23</v>
      </c>
      <c r="H32" t="s">
        <v>13</v>
      </c>
      <c r="I32" t="s">
        <v>14</v>
      </c>
    </row>
    <row r="33" spans="1:9" x14ac:dyDescent="0.3">
      <c r="A33" t="s">
        <v>263</v>
      </c>
      <c r="B33">
        <v>32</v>
      </c>
      <c r="C33" s="1">
        <v>45013</v>
      </c>
      <c r="D33" t="s">
        <v>9</v>
      </c>
      <c r="E33" t="s">
        <v>10</v>
      </c>
      <c r="F33">
        <v>1</v>
      </c>
      <c r="G33" t="s">
        <v>23</v>
      </c>
      <c r="H33" t="s">
        <v>24</v>
      </c>
    </row>
    <row r="34" spans="1:9" x14ac:dyDescent="0.3">
      <c r="A34" t="s">
        <v>263</v>
      </c>
      <c r="B34">
        <v>33</v>
      </c>
      <c r="C34" s="1">
        <v>44933</v>
      </c>
      <c r="D34" t="s">
        <v>28</v>
      </c>
      <c r="E34" t="s">
        <v>29</v>
      </c>
      <c r="F34" t="s">
        <v>36</v>
      </c>
      <c r="G34">
        <v>500</v>
      </c>
      <c r="H34" t="s">
        <v>13</v>
      </c>
      <c r="I34" t="s">
        <v>14</v>
      </c>
    </row>
    <row r="35" spans="1:9" x14ac:dyDescent="0.3">
      <c r="A35" t="s">
        <v>263</v>
      </c>
      <c r="B35">
        <v>34</v>
      </c>
      <c r="C35" s="1">
        <v>45171</v>
      </c>
      <c r="D35" t="s">
        <v>20</v>
      </c>
      <c r="E35" t="s">
        <v>22</v>
      </c>
      <c r="F35">
        <v>1</v>
      </c>
      <c r="G35">
        <v>700</v>
      </c>
      <c r="H35" t="s">
        <v>26</v>
      </c>
      <c r="I35" t="s">
        <v>14</v>
      </c>
    </row>
    <row r="36" spans="1:9" x14ac:dyDescent="0.3">
      <c r="A36" t="s">
        <v>263</v>
      </c>
      <c r="B36">
        <v>35</v>
      </c>
      <c r="C36" s="1">
        <v>45023</v>
      </c>
      <c r="D36" t="s">
        <v>9</v>
      </c>
      <c r="E36" t="s">
        <v>29</v>
      </c>
      <c r="F36" t="s">
        <v>11</v>
      </c>
      <c r="G36" t="s">
        <v>23</v>
      </c>
      <c r="H36" t="s">
        <v>18</v>
      </c>
    </row>
    <row r="37" spans="1:9" x14ac:dyDescent="0.3">
      <c r="A37" t="s">
        <v>263</v>
      </c>
      <c r="B37">
        <v>36</v>
      </c>
      <c r="C37" s="1">
        <v>44951</v>
      </c>
      <c r="D37" t="s">
        <v>9</v>
      </c>
      <c r="E37" t="s">
        <v>10</v>
      </c>
      <c r="F37">
        <v>3</v>
      </c>
      <c r="G37" t="s">
        <v>12</v>
      </c>
      <c r="H37" t="s">
        <v>26</v>
      </c>
      <c r="I37" t="s">
        <v>14</v>
      </c>
    </row>
    <row r="38" spans="1:9" x14ac:dyDescent="0.3">
      <c r="A38" t="s">
        <v>263</v>
      </c>
      <c r="B38">
        <v>37</v>
      </c>
      <c r="C38" s="1">
        <v>45292</v>
      </c>
      <c r="D38" t="s">
        <v>28</v>
      </c>
      <c r="E38" t="s">
        <v>10</v>
      </c>
      <c r="F38">
        <v>1</v>
      </c>
      <c r="G38" t="s">
        <v>23</v>
      </c>
      <c r="H38" t="s">
        <v>26</v>
      </c>
      <c r="I38" t="s">
        <v>14</v>
      </c>
    </row>
    <row r="39" spans="1:9" x14ac:dyDescent="0.3">
      <c r="A39" t="s">
        <v>263</v>
      </c>
      <c r="B39">
        <v>38</v>
      </c>
      <c r="C39" s="1">
        <v>45155</v>
      </c>
      <c r="D39" t="s">
        <v>28</v>
      </c>
      <c r="E39" t="s">
        <v>22</v>
      </c>
      <c r="F39" t="s">
        <v>11</v>
      </c>
      <c r="G39">
        <v>700</v>
      </c>
      <c r="H39" t="s">
        <v>24</v>
      </c>
      <c r="I39" t="s">
        <v>14</v>
      </c>
    </row>
    <row r="40" spans="1:9" x14ac:dyDescent="0.3">
      <c r="A40" t="s">
        <v>263</v>
      </c>
      <c r="B40">
        <v>39</v>
      </c>
      <c r="C40" s="1">
        <v>44998</v>
      </c>
      <c r="D40" t="s">
        <v>28</v>
      </c>
      <c r="E40" t="s">
        <v>29</v>
      </c>
      <c r="F40">
        <v>2</v>
      </c>
      <c r="G40">
        <v>700</v>
      </c>
      <c r="H40" t="s">
        <v>13</v>
      </c>
      <c r="I40" t="s">
        <v>14</v>
      </c>
    </row>
    <row r="41" spans="1:9" x14ac:dyDescent="0.3">
      <c r="A41" t="s">
        <v>263</v>
      </c>
      <c r="B41">
        <v>40</v>
      </c>
      <c r="C41" s="1">
        <v>45091</v>
      </c>
      <c r="D41" t="s">
        <v>9</v>
      </c>
      <c r="E41" t="s">
        <v>17</v>
      </c>
      <c r="F41">
        <v>1</v>
      </c>
      <c r="G41">
        <v>700</v>
      </c>
      <c r="H41" t="s">
        <v>13</v>
      </c>
    </row>
    <row r="42" spans="1:9" x14ac:dyDescent="0.3">
      <c r="A42" t="s">
        <v>263</v>
      </c>
      <c r="B42">
        <v>41</v>
      </c>
      <c r="C42" s="1">
        <v>45104</v>
      </c>
      <c r="D42" t="s">
        <v>28</v>
      </c>
      <c r="E42" t="s">
        <v>29</v>
      </c>
      <c r="F42" t="s">
        <v>36</v>
      </c>
      <c r="G42">
        <v>500</v>
      </c>
      <c r="H42" t="s">
        <v>18</v>
      </c>
      <c r="I42" t="s">
        <v>14</v>
      </c>
    </row>
    <row r="43" spans="1:9" x14ac:dyDescent="0.3">
      <c r="A43" t="s">
        <v>263</v>
      </c>
      <c r="B43">
        <v>42</v>
      </c>
      <c r="C43" s="1">
        <v>45239</v>
      </c>
      <c r="D43" t="s">
        <v>20</v>
      </c>
      <c r="E43" t="s">
        <v>17</v>
      </c>
      <c r="F43">
        <v>4</v>
      </c>
      <c r="G43">
        <v>500</v>
      </c>
      <c r="H43" t="s">
        <v>26</v>
      </c>
    </row>
    <row r="44" spans="1:9" x14ac:dyDescent="0.3">
      <c r="A44" t="s">
        <v>263</v>
      </c>
      <c r="B44">
        <v>43</v>
      </c>
      <c r="C44" s="1">
        <v>45132</v>
      </c>
      <c r="D44" t="s">
        <v>28</v>
      </c>
      <c r="E44" t="s">
        <v>29</v>
      </c>
      <c r="F44">
        <v>4</v>
      </c>
      <c r="G44">
        <v>1000</v>
      </c>
      <c r="H44" t="s">
        <v>24</v>
      </c>
      <c r="I44" t="s">
        <v>14</v>
      </c>
    </row>
    <row r="45" spans="1:9" x14ac:dyDescent="0.3">
      <c r="A45" t="s">
        <v>263</v>
      </c>
      <c r="B45">
        <v>44</v>
      </c>
      <c r="C45" s="1">
        <v>45238</v>
      </c>
      <c r="D45" t="s">
        <v>9</v>
      </c>
      <c r="E45" t="s">
        <v>22</v>
      </c>
      <c r="F45">
        <v>4</v>
      </c>
      <c r="G45" t="s">
        <v>23</v>
      </c>
      <c r="H45" t="s">
        <v>13</v>
      </c>
    </row>
    <row r="46" spans="1:9" x14ac:dyDescent="0.3">
      <c r="A46" t="s">
        <v>263</v>
      </c>
      <c r="B46">
        <v>45</v>
      </c>
      <c r="C46" s="1">
        <v>45232</v>
      </c>
      <c r="D46" t="s">
        <v>20</v>
      </c>
      <c r="E46" t="s">
        <v>22</v>
      </c>
      <c r="F46">
        <v>5</v>
      </c>
      <c r="G46">
        <v>500</v>
      </c>
      <c r="H46" t="s">
        <v>24</v>
      </c>
    </row>
    <row r="47" spans="1:9" x14ac:dyDescent="0.3">
      <c r="A47" t="s">
        <v>263</v>
      </c>
      <c r="B47">
        <v>46</v>
      </c>
      <c r="C47" s="1">
        <v>45050</v>
      </c>
      <c r="D47" t="s">
        <v>20</v>
      </c>
      <c r="E47" t="s">
        <v>22</v>
      </c>
      <c r="F47" t="s">
        <v>36</v>
      </c>
      <c r="G47">
        <v>700</v>
      </c>
      <c r="H47" t="s">
        <v>13</v>
      </c>
      <c r="I47" t="s">
        <v>14</v>
      </c>
    </row>
    <row r="48" spans="1:9" x14ac:dyDescent="0.3">
      <c r="A48" t="s">
        <v>263</v>
      </c>
      <c r="B48">
        <v>47</v>
      </c>
      <c r="C48" s="1">
        <v>45140</v>
      </c>
      <c r="D48" t="s">
        <v>28</v>
      </c>
      <c r="E48" t="s">
        <v>10</v>
      </c>
      <c r="F48" t="s">
        <v>36</v>
      </c>
      <c r="G48">
        <v>1000</v>
      </c>
      <c r="H48" t="s">
        <v>18</v>
      </c>
      <c r="I48" t="s">
        <v>14</v>
      </c>
    </row>
    <row r="49" spans="1:9" x14ac:dyDescent="0.3">
      <c r="A49" t="s">
        <v>263</v>
      </c>
      <c r="B49">
        <v>48</v>
      </c>
      <c r="C49" s="1">
        <v>45266</v>
      </c>
      <c r="D49" t="s">
        <v>9</v>
      </c>
      <c r="E49" t="s">
        <v>22</v>
      </c>
      <c r="F49" t="s">
        <v>11</v>
      </c>
      <c r="G49">
        <v>1000</v>
      </c>
      <c r="H49" t="s">
        <v>13</v>
      </c>
      <c r="I49" t="s">
        <v>14</v>
      </c>
    </row>
    <row r="50" spans="1:9" x14ac:dyDescent="0.3">
      <c r="A50" t="s">
        <v>263</v>
      </c>
      <c r="B50">
        <v>49</v>
      </c>
      <c r="C50" s="1">
        <v>45175</v>
      </c>
      <c r="D50" t="s">
        <v>16</v>
      </c>
      <c r="E50" t="s">
        <v>10</v>
      </c>
      <c r="F50">
        <v>4</v>
      </c>
      <c r="G50" t="s">
        <v>23</v>
      </c>
      <c r="H50" t="s">
        <v>24</v>
      </c>
      <c r="I50" t="s">
        <v>14</v>
      </c>
    </row>
    <row r="51" spans="1:9" x14ac:dyDescent="0.3">
      <c r="A51" t="s">
        <v>263</v>
      </c>
      <c r="B51">
        <v>50</v>
      </c>
      <c r="C51" s="1">
        <v>44988</v>
      </c>
      <c r="D51" t="s">
        <v>16</v>
      </c>
      <c r="E51" t="s">
        <v>22</v>
      </c>
      <c r="F51" t="s">
        <v>36</v>
      </c>
      <c r="G51">
        <v>1000</v>
      </c>
      <c r="H51" t="s">
        <v>18</v>
      </c>
      <c r="I51" t="s">
        <v>14</v>
      </c>
    </row>
    <row r="52" spans="1:9" x14ac:dyDescent="0.3">
      <c r="A52" t="s">
        <v>263</v>
      </c>
      <c r="B52">
        <v>51</v>
      </c>
      <c r="C52" s="1">
        <v>45031</v>
      </c>
      <c r="D52" t="s">
        <v>16</v>
      </c>
      <c r="E52" t="s">
        <v>17</v>
      </c>
      <c r="F52" t="s">
        <v>36</v>
      </c>
      <c r="G52">
        <v>1000</v>
      </c>
      <c r="H52" t="s">
        <v>26</v>
      </c>
    </row>
    <row r="53" spans="1:9" x14ac:dyDescent="0.3">
      <c r="A53" t="s">
        <v>263</v>
      </c>
      <c r="B53">
        <v>52</v>
      </c>
      <c r="C53" s="1">
        <v>45193</v>
      </c>
      <c r="D53" t="s">
        <v>28</v>
      </c>
      <c r="E53" t="s">
        <v>10</v>
      </c>
      <c r="F53" t="s">
        <v>11</v>
      </c>
      <c r="G53" t="s">
        <v>12</v>
      </c>
      <c r="H53" t="s">
        <v>26</v>
      </c>
      <c r="I53" t="s">
        <v>14</v>
      </c>
    </row>
    <row r="54" spans="1:9" x14ac:dyDescent="0.3">
      <c r="A54" t="s">
        <v>263</v>
      </c>
      <c r="B54">
        <v>53</v>
      </c>
      <c r="C54" s="1">
        <v>44966</v>
      </c>
      <c r="D54" t="s">
        <v>16</v>
      </c>
      <c r="E54" t="s">
        <v>22</v>
      </c>
      <c r="F54">
        <v>4</v>
      </c>
      <c r="G54">
        <v>700</v>
      </c>
      <c r="H54" t="s">
        <v>13</v>
      </c>
      <c r="I54" t="s">
        <v>14</v>
      </c>
    </row>
    <row r="55" spans="1:9" x14ac:dyDescent="0.3">
      <c r="A55" t="s">
        <v>263</v>
      </c>
      <c r="B55">
        <v>54</v>
      </c>
      <c r="C55" s="1">
        <v>44952</v>
      </c>
      <c r="D55" t="s">
        <v>20</v>
      </c>
      <c r="E55" t="s">
        <v>22</v>
      </c>
      <c r="F55">
        <v>3</v>
      </c>
      <c r="G55">
        <v>500</v>
      </c>
      <c r="H55" t="s">
        <v>26</v>
      </c>
    </row>
    <row r="56" spans="1:9" x14ac:dyDescent="0.3">
      <c r="A56" t="s">
        <v>263</v>
      </c>
      <c r="B56">
        <v>55</v>
      </c>
      <c r="C56" s="1">
        <v>45211</v>
      </c>
      <c r="D56" t="s">
        <v>9</v>
      </c>
      <c r="E56" t="s">
        <v>17</v>
      </c>
      <c r="F56">
        <v>2</v>
      </c>
      <c r="G56">
        <v>500</v>
      </c>
      <c r="H56" t="s">
        <v>26</v>
      </c>
      <c r="I56" t="s">
        <v>14</v>
      </c>
    </row>
    <row r="57" spans="1:9" x14ac:dyDescent="0.3">
      <c r="A57" t="s">
        <v>263</v>
      </c>
      <c r="B57">
        <v>56</v>
      </c>
      <c r="C57" s="1">
        <v>45085</v>
      </c>
      <c r="D57" t="s">
        <v>28</v>
      </c>
      <c r="E57" t="s">
        <v>17</v>
      </c>
      <c r="F57" t="s">
        <v>11</v>
      </c>
      <c r="G57" t="s">
        <v>12</v>
      </c>
      <c r="H57" t="s">
        <v>26</v>
      </c>
    </row>
    <row r="58" spans="1:9" x14ac:dyDescent="0.3">
      <c r="A58" t="s">
        <v>263</v>
      </c>
      <c r="B58">
        <v>57</v>
      </c>
      <c r="C58" s="1">
        <v>45173</v>
      </c>
      <c r="D58" t="s">
        <v>20</v>
      </c>
      <c r="E58" t="s">
        <v>22</v>
      </c>
      <c r="F58">
        <v>5</v>
      </c>
      <c r="G58">
        <v>1000</v>
      </c>
      <c r="H58" t="s">
        <v>26</v>
      </c>
      <c r="I58" t="s">
        <v>14</v>
      </c>
    </row>
    <row r="59" spans="1:9" x14ac:dyDescent="0.3">
      <c r="A59" t="s">
        <v>263</v>
      </c>
      <c r="B59">
        <v>58</v>
      </c>
      <c r="C59" s="1">
        <v>45175</v>
      </c>
      <c r="D59" t="s">
        <v>28</v>
      </c>
      <c r="E59" t="s">
        <v>29</v>
      </c>
      <c r="F59" t="s">
        <v>11</v>
      </c>
      <c r="G59">
        <v>700</v>
      </c>
      <c r="H59" t="s">
        <v>13</v>
      </c>
    </row>
    <row r="60" spans="1:9" x14ac:dyDescent="0.3">
      <c r="A60" t="s">
        <v>263</v>
      </c>
      <c r="B60">
        <v>59</v>
      </c>
      <c r="C60" s="1">
        <v>45036</v>
      </c>
      <c r="D60" t="s">
        <v>16</v>
      </c>
      <c r="E60" t="s">
        <v>17</v>
      </c>
      <c r="F60">
        <v>3</v>
      </c>
      <c r="G60">
        <v>700</v>
      </c>
      <c r="H60" t="s">
        <v>26</v>
      </c>
      <c r="I60" t="s">
        <v>14</v>
      </c>
    </row>
    <row r="61" spans="1:9" x14ac:dyDescent="0.3">
      <c r="A61" t="s">
        <v>263</v>
      </c>
      <c r="B61">
        <v>60</v>
      </c>
      <c r="C61" s="1">
        <v>45223</v>
      </c>
      <c r="D61" t="s">
        <v>16</v>
      </c>
      <c r="E61" t="s">
        <v>29</v>
      </c>
      <c r="F61">
        <v>1</v>
      </c>
      <c r="G61">
        <v>700</v>
      </c>
      <c r="H61" t="s">
        <v>26</v>
      </c>
      <c r="I61" t="s">
        <v>14</v>
      </c>
    </row>
    <row r="62" spans="1:9" x14ac:dyDescent="0.3">
      <c r="A62" t="s">
        <v>263</v>
      </c>
      <c r="B62">
        <v>61</v>
      </c>
      <c r="C62" s="1">
        <v>44955</v>
      </c>
      <c r="D62" t="s">
        <v>20</v>
      </c>
      <c r="E62" t="s">
        <v>17</v>
      </c>
      <c r="F62">
        <v>5</v>
      </c>
      <c r="G62">
        <v>1000</v>
      </c>
      <c r="H62" t="s">
        <v>26</v>
      </c>
      <c r="I62" t="s">
        <v>14</v>
      </c>
    </row>
    <row r="63" spans="1:9" x14ac:dyDescent="0.3">
      <c r="A63" t="s">
        <v>263</v>
      </c>
      <c r="B63">
        <v>62</v>
      </c>
      <c r="C63" s="1">
        <v>45197</v>
      </c>
      <c r="D63" t="s">
        <v>9</v>
      </c>
      <c r="E63" t="s">
        <v>22</v>
      </c>
      <c r="F63" t="s">
        <v>11</v>
      </c>
      <c r="G63" t="s">
        <v>23</v>
      </c>
      <c r="H63" t="s">
        <v>26</v>
      </c>
    </row>
    <row r="64" spans="1:9" x14ac:dyDescent="0.3">
      <c r="A64" t="s">
        <v>263</v>
      </c>
      <c r="B64">
        <v>63</v>
      </c>
      <c r="C64" s="1">
        <v>45152</v>
      </c>
      <c r="D64" t="s">
        <v>9</v>
      </c>
      <c r="E64" t="s">
        <v>10</v>
      </c>
      <c r="F64">
        <v>1</v>
      </c>
      <c r="G64" t="s">
        <v>23</v>
      </c>
      <c r="H64" t="s">
        <v>18</v>
      </c>
      <c r="I64" t="s">
        <v>14</v>
      </c>
    </row>
    <row r="65" spans="1:9" x14ac:dyDescent="0.3">
      <c r="A65" t="s">
        <v>263</v>
      </c>
      <c r="B65">
        <v>64</v>
      </c>
      <c r="C65" s="1">
        <v>44939</v>
      </c>
      <c r="D65" t="s">
        <v>16</v>
      </c>
      <c r="E65" t="s">
        <v>17</v>
      </c>
      <c r="F65">
        <v>4</v>
      </c>
      <c r="G65">
        <v>700</v>
      </c>
      <c r="H65" t="s">
        <v>26</v>
      </c>
      <c r="I65" t="s">
        <v>14</v>
      </c>
    </row>
    <row r="66" spans="1:9" x14ac:dyDescent="0.3">
      <c r="A66" t="s">
        <v>263</v>
      </c>
      <c r="B66">
        <v>65</v>
      </c>
      <c r="C66" s="1">
        <v>45185</v>
      </c>
      <c r="D66" t="s">
        <v>16</v>
      </c>
      <c r="E66" t="s">
        <v>22</v>
      </c>
      <c r="F66">
        <v>5</v>
      </c>
      <c r="G66">
        <v>1000</v>
      </c>
      <c r="H66" t="s">
        <v>24</v>
      </c>
      <c r="I66" t="s">
        <v>14</v>
      </c>
    </row>
    <row r="67" spans="1:9" x14ac:dyDescent="0.3">
      <c r="A67" t="s">
        <v>263</v>
      </c>
      <c r="B67">
        <v>66</v>
      </c>
      <c r="C67" s="1">
        <v>45050</v>
      </c>
      <c r="D67" t="s">
        <v>16</v>
      </c>
      <c r="E67" t="s">
        <v>22</v>
      </c>
      <c r="F67" t="s">
        <v>11</v>
      </c>
      <c r="G67" t="s">
        <v>23</v>
      </c>
      <c r="H67" t="s">
        <v>18</v>
      </c>
      <c r="I67" t="s">
        <v>14</v>
      </c>
    </row>
    <row r="68" spans="1:9" x14ac:dyDescent="0.3">
      <c r="A68" t="s">
        <v>263</v>
      </c>
      <c r="B68">
        <v>67</v>
      </c>
      <c r="C68" s="1">
        <v>45114</v>
      </c>
      <c r="D68" t="s">
        <v>20</v>
      </c>
      <c r="E68" t="s">
        <v>29</v>
      </c>
      <c r="F68" t="s">
        <v>11</v>
      </c>
      <c r="G68" t="s">
        <v>12</v>
      </c>
      <c r="H68" t="s">
        <v>24</v>
      </c>
      <c r="I68" t="s">
        <v>14</v>
      </c>
    </row>
    <row r="69" spans="1:9" x14ac:dyDescent="0.3">
      <c r="A69" t="s">
        <v>263</v>
      </c>
      <c r="B69">
        <v>68</v>
      </c>
      <c r="C69" s="1">
        <v>45189</v>
      </c>
      <c r="D69" t="s">
        <v>20</v>
      </c>
      <c r="E69" t="s">
        <v>10</v>
      </c>
      <c r="F69" t="s">
        <v>11</v>
      </c>
      <c r="G69" t="s">
        <v>12</v>
      </c>
      <c r="H69" t="s">
        <v>18</v>
      </c>
      <c r="I69" t="s">
        <v>14</v>
      </c>
    </row>
    <row r="70" spans="1:9" x14ac:dyDescent="0.3">
      <c r="A70" t="s">
        <v>263</v>
      </c>
      <c r="B70">
        <v>69</v>
      </c>
      <c r="C70" s="1">
        <v>45093</v>
      </c>
      <c r="D70" t="s">
        <v>20</v>
      </c>
      <c r="E70" t="s">
        <v>17</v>
      </c>
      <c r="F70">
        <v>5</v>
      </c>
      <c r="G70">
        <v>700</v>
      </c>
      <c r="H70" t="s">
        <v>18</v>
      </c>
      <c r="I70" t="s">
        <v>14</v>
      </c>
    </row>
    <row r="71" spans="1:9" x14ac:dyDescent="0.3">
      <c r="A71" t="s">
        <v>263</v>
      </c>
      <c r="B71">
        <v>70</v>
      </c>
      <c r="C71" s="1">
        <v>45085</v>
      </c>
      <c r="D71" t="s">
        <v>9</v>
      </c>
      <c r="E71" t="s">
        <v>17</v>
      </c>
      <c r="F71">
        <v>4</v>
      </c>
      <c r="G71">
        <v>500</v>
      </c>
      <c r="H71" t="s">
        <v>24</v>
      </c>
      <c r="I71" t="s">
        <v>14</v>
      </c>
    </row>
    <row r="72" spans="1:9" x14ac:dyDescent="0.3">
      <c r="A72" t="s">
        <v>263</v>
      </c>
      <c r="B72">
        <v>71</v>
      </c>
      <c r="C72" s="1">
        <v>45045</v>
      </c>
      <c r="D72" t="s">
        <v>16</v>
      </c>
      <c r="E72" t="s">
        <v>29</v>
      </c>
      <c r="F72">
        <v>1</v>
      </c>
      <c r="G72" t="s">
        <v>23</v>
      </c>
      <c r="H72" t="s">
        <v>26</v>
      </c>
      <c r="I72" t="s">
        <v>14</v>
      </c>
    </row>
    <row r="73" spans="1:9" x14ac:dyDescent="0.3">
      <c r="A73" t="s">
        <v>263</v>
      </c>
      <c r="B73">
        <v>72</v>
      </c>
      <c r="C73" s="1">
        <v>45188</v>
      </c>
      <c r="D73" t="s">
        <v>9</v>
      </c>
      <c r="E73" t="s">
        <v>17</v>
      </c>
      <c r="F73">
        <v>3</v>
      </c>
      <c r="G73" t="s">
        <v>12</v>
      </c>
      <c r="H73" t="s">
        <v>26</v>
      </c>
      <c r="I73" t="s">
        <v>14</v>
      </c>
    </row>
    <row r="74" spans="1:9" x14ac:dyDescent="0.3">
      <c r="A74" t="s">
        <v>263</v>
      </c>
      <c r="B74">
        <v>73</v>
      </c>
      <c r="C74" s="1">
        <v>44961</v>
      </c>
      <c r="D74" t="s">
        <v>16</v>
      </c>
      <c r="E74" t="s">
        <v>10</v>
      </c>
      <c r="F74">
        <v>1</v>
      </c>
      <c r="G74">
        <v>700</v>
      </c>
      <c r="H74" t="s">
        <v>24</v>
      </c>
      <c r="I74" t="s">
        <v>14</v>
      </c>
    </row>
    <row r="75" spans="1:9" x14ac:dyDescent="0.3">
      <c r="A75" t="s">
        <v>263</v>
      </c>
      <c r="B75">
        <v>74</v>
      </c>
      <c r="C75" s="1">
        <v>45181</v>
      </c>
      <c r="D75" t="s">
        <v>20</v>
      </c>
      <c r="E75" t="s">
        <v>22</v>
      </c>
      <c r="F75" t="s">
        <v>11</v>
      </c>
      <c r="G75" t="s">
        <v>12</v>
      </c>
      <c r="H75" t="s">
        <v>13</v>
      </c>
    </row>
    <row r="76" spans="1:9" x14ac:dyDescent="0.3">
      <c r="A76" t="s">
        <v>263</v>
      </c>
      <c r="B76">
        <v>75</v>
      </c>
      <c r="C76" s="1">
        <v>45055</v>
      </c>
      <c r="D76" t="s">
        <v>20</v>
      </c>
      <c r="E76" t="s">
        <v>22</v>
      </c>
      <c r="F76">
        <v>3</v>
      </c>
      <c r="G76">
        <v>700</v>
      </c>
      <c r="H76" t="s">
        <v>13</v>
      </c>
      <c r="I76" t="s">
        <v>14</v>
      </c>
    </row>
    <row r="77" spans="1:9" x14ac:dyDescent="0.3">
      <c r="A77" t="s">
        <v>263</v>
      </c>
      <c r="B77">
        <v>76</v>
      </c>
      <c r="C77" s="1">
        <v>45236</v>
      </c>
      <c r="D77" t="s">
        <v>20</v>
      </c>
      <c r="E77" t="s">
        <v>10</v>
      </c>
      <c r="F77" t="s">
        <v>36</v>
      </c>
      <c r="G77">
        <v>1000</v>
      </c>
      <c r="H77" t="s">
        <v>26</v>
      </c>
      <c r="I77" t="s">
        <v>14</v>
      </c>
    </row>
    <row r="78" spans="1:9" x14ac:dyDescent="0.3">
      <c r="A78" t="s">
        <v>263</v>
      </c>
      <c r="B78">
        <v>77</v>
      </c>
      <c r="C78" s="1">
        <v>45012</v>
      </c>
      <c r="D78" t="s">
        <v>9</v>
      </c>
      <c r="E78" t="s">
        <v>29</v>
      </c>
      <c r="F78">
        <v>4</v>
      </c>
      <c r="G78">
        <v>1000</v>
      </c>
      <c r="H78" t="s">
        <v>24</v>
      </c>
    </row>
    <row r="79" spans="1:9" x14ac:dyDescent="0.3">
      <c r="A79" t="s">
        <v>263</v>
      </c>
      <c r="B79">
        <v>78</v>
      </c>
      <c r="C79" s="1">
        <v>44993</v>
      </c>
      <c r="D79" t="s">
        <v>28</v>
      </c>
      <c r="E79" t="s">
        <v>29</v>
      </c>
      <c r="F79">
        <v>4</v>
      </c>
      <c r="G79">
        <v>1000</v>
      </c>
      <c r="H79" t="s">
        <v>24</v>
      </c>
      <c r="I79" t="s">
        <v>14</v>
      </c>
    </row>
    <row r="80" spans="1:9" x14ac:dyDescent="0.3">
      <c r="A80" t="s">
        <v>263</v>
      </c>
      <c r="B80">
        <v>79</v>
      </c>
      <c r="C80" s="1">
        <v>45038</v>
      </c>
      <c r="D80" t="s">
        <v>9</v>
      </c>
      <c r="E80" t="s">
        <v>17</v>
      </c>
      <c r="F80">
        <v>5</v>
      </c>
      <c r="G80">
        <v>1000</v>
      </c>
      <c r="H80" t="s">
        <v>24</v>
      </c>
      <c r="I80" t="s">
        <v>14</v>
      </c>
    </row>
    <row r="81" spans="1:9" x14ac:dyDescent="0.3">
      <c r="A81" t="s">
        <v>263</v>
      </c>
      <c r="B81">
        <v>80</v>
      </c>
      <c r="C81" s="1">
        <v>44977</v>
      </c>
      <c r="D81" t="s">
        <v>20</v>
      </c>
      <c r="E81" t="s">
        <v>29</v>
      </c>
      <c r="F81">
        <v>3</v>
      </c>
      <c r="G81">
        <v>1000</v>
      </c>
      <c r="H81" t="s">
        <v>26</v>
      </c>
      <c r="I81" t="s">
        <v>14</v>
      </c>
    </row>
    <row r="82" spans="1:9" x14ac:dyDescent="0.3">
      <c r="A82" t="s">
        <v>263</v>
      </c>
      <c r="B82">
        <v>81</v>
      </c>
      <c r="C82" s="1">
        <v>45287</v>
      </c>
      <c r="D82" t="s">
        <v>28</v>
      </c>
      <c r="E82" t="s">
        <v>17</v>
      </c>
      <c r="F82">
        <v>3</v>
      </c>
      <c r="G82">
        <v>500</v>
      </c>
      <c r="H82" t="s">
        <v>26</v>
      </c>
      <c r="I82" t="s">
        <v>14</v>
      </c>
    </row>
    <row r="83" spans="1:9" x14ac:dyDescent="0.3">
      <c r="A83" t="s">
        <v>263</v>
      </c>
      <c r="B83">
        <v>82</v>
      </c>
      <c r="C83" s="1">
        <v>45025</v>
      </c>
      <c r="D83" t="s">
        <v>16</v>
      </c>
      <c r="E83" t="s">
        <v>10</v>
      </c>
      <c r="F83" t="s">
        <v>11</v>
      </c>
      <c r="G83">
        <v>500</v>
      </c>
      <c r="H83" t="s">
        <v>18</v>
      </c>
    </row>
    <row r="84" spans="1:9" x14ac:dyDescent="0.3">
      <c r="A84" t="s">
        <v>263</v>
      </c>
      <c r="B84">
        <v>83</v>
      </c>
      <c r="C84" s="1">
        <v>44986</v>
      </c>
      <c r="D84" t="s">
        <v>20</v>
      </c>
      <c r="E84" t="s">
        <v>10</v>
      </c>
      <c r="F84">
        <v>2</v>
      </c>
      <c r="G84" t="s">
        <v>23</v>
      </c>
      <c r="H84" t="s">
        <v>13</v>
      </c>
      <c r="I84" t="s">
        <v>14</v>
      </c>
    </row>
    <row r="85" spans="1:9" x14ac:dyDescent="0.3">
      <c r="A85" t="s">
        <v>263</v>
      </c>
      <c r="B85">
        <v>84</v>
      </c>
      <c r="C85" s="1">
        <v>45073</v>
      </c>
      <c r="D85" t="s">
        <v>28</v>
      </c>
      <c r="E85" t="s">
        <v>22</v>
      </c>
      <c r="F85">
        <v>2</v>
      </c>
      <c r="G85">
        <v>500</v>
      </c>
      <c r="H85" t="s">
        <v>13</v>
      </c>
    </row>
    <row r="86" spans="1:9" x14ac:dyDescent="0.3">
      <c r="A86" t="s">
        <v>263</v>
      </c>
      <c r="B86">
        <v>85</v>
      </c>
      <c r="C86" s="1">
        <v>45105</v>
      </c>
      <c r="D86" t="s">
        <v>9</v>
      </c>
      <c r="E86" t="s">
        <v>22</v>
      </c>
      <c r="F86">
        <v>2</v>
      </c>
      <c r="G86">
        <v>500</v>
      </c>
      <c r="H86" t="s">
        <v>26</v>
      </c>
      <c r="I86" t="s">
        <v>14</v>
      </c>
    </row>
    <row r="87" spans="1:9" x14ac:dyDescent="0.3">
      <c r="A87" t="s">
        <v>263</v>
      </c>
      <c r="B87">
        <v>86</v>
      </c>
      <c r="C87" s="1">
        <v>45230</v>
      </c>
      <c r="D87" t="s">
        <v>28</v>
      </c>
      <c r="E87" t="s">
        <v>17</v>
      </c>
      <c r="F87" t="s">
        <v>36</v>
      </c>
      <c r="G87">
        <v>700</v>
      </c>
      <c r="H87" t="s">
        <v>18</v>
      </c>
      <c r="I87" t="s">
        <v>14</v>
      </c>
    </row>
    <row r="88" spans="1:9" x14ac:dyDescent="0.3">
      <c r="A88" t="s">
        <v>263</v>
      </c>
      <c r="B88">
        <v>87</v>
      </c>
      <c r="C88" s="1">
        <v>45164</v>
      </c>
      <c r="D88" t="s">
        <v>28</v>
      </c>
      <c r="E88" t="s">
        <v>10</v>
      </c>
      <c r="F88" t="s">
        <v>11</v>
      </c>
      <c r="G88">
        <v>500</v>
      </c>
      <c r="H88" t="s">
        <v>24</v>
      </c>
      <c r="I88" t="s">
        <v>14</v>
      </c>
    </row>
    <row r="89" spans="1:9" x14ac:dyDescent="0.3">
      <c r="A89" t="s">
        <v>263</v>
      </c>
      <c r="B89">
        <v>88</v>
      </c>
      <c r="C89" s="1">
        <v>45226</v>
      </c>
      <c r="D89" t="s">
        <v>16</v>
      </c>
      <c r="E89" t="s">
        <v>10</v>
      </c>
      <c r="F89" t="s">
        <v>36</v>
      </c>
      <c r="G89" t="s">
        <v>23</v>
      </c>
      <c r="H89" t="s">
        <v>26</v>
      </c>
      <c r="I89" t="s">
        <v>14</v>
      </c>
    </row>
    <row r="90" spans="1:9" x14ac:dyDescent="0.3">
      <c r="A90" t="s">
        <v>263</v>
      </c>
      <c r="B90">
        <v>89</v>
      </c>
      <c r="C90" s="1">
        <v>45107</v>
      </c>
      <c r="D90" t="s">
        <v>28</v>
      </c>
      <c r="E90" t="s">
        <v>29</v>
      </c>
      <c r="F90">
        <v>2</v>
      </c>
      <c r="G90" t="s">
        <v>12</v>
      </c>
      <c r="H90" t="s">
        <v>18</v>
      </c>
    </row>
    <row r="91" spans="1:9" x14ac:dyDescent="0.3">
      <c r="A91" t="s">
        <v>263</v>
      </c>
      <c r="B91">
        <v>90</v>
      </c>
      <c r="C91" s="1">
        <v>45096</v>
      </c>
      <c r="D91" t="s">
        <v>20</v>
      </c>
      <c r="E91" t="s">
        <v>10</v>
      </c>
      <c r="F91">
        <v>5</v>
      </c>
      <c r="G91">
        <v>500</v>
      </c>
      <c r="H91" t="s">
        <v>26</v>
      </c>
      <c r="I91" t="s">
        <v>14</v>
      </c>
    </row>
    <row r="92" spans="1:9" x14ac:dyDescent="0.3">
      <c r="A92" t="s">
        <v>263</v>
      </c>
      <c r="B92">
        <v>91</v>
      </c>
      <c r="C92" s="1">
        <v>45129</v>
      </c>
      <c r="D92" t="s">
        <v>20</v>
      </c>
      <c r="E92" t="s">
        <v>10</v>
      </c>
      <c r="F92">
        <v>3</v>
      </c>
      <c r="G92">
        <v>700</v>
      </c>
      <c r="H92" t="s">
        <v>24</v>
      </c>
      <c r="I92" t="s">
        <v>14</v>
      </c>
    </row>
    <row r="93" spans="1:9" x14ac:dyDescent="0.3">
      <c r="A93" t="s">
        <v>263</v>
      </c>
      <c r="B93">
        <v>92</v>
      </c>
      <c r="C93" s="1">
        <v>45007</v>
      </c>
      <c r="D93" t="s">
        <v>20</v>
      </c>
      <c r="E93" t="s">
        <v>29</v>
      </c>
      <c r="F93" t="s">
        <v>11</v>
      </c>
      <c r="G93" t="s">
        <v>23</v>
      </c>
      <c r="H93" t="s">
        <v>24</v>
      </c>
      <c r="I93" t="s">
        <v>14</v>
      </c>
    </row>
    <row r="94" spans="1:9" x14ac:dyDescent="0.3">
      <c r="A94" t="s">
        <v>263</v>
      </c>
      <c r="B94">
        <v>93</v>
      </c>
      <c r="C94" s="1">
        <v>45125</v>
      </c>
      <c r="D94" t="s">
        <v>9</v>
      </c>
      <c r="E94" t="s">
        <v>17</v>
      </c>
      <c r="F94" t="s">
        <v>11</v>
      </c>
      <c r="G94" t="s">
        <v>23</v>
      </c>
      <c r="H94" t="s">
        <v>24</v>
      </c>
    </row>
    <row r="95" spans="1:9" x14ac:dyDescent="0.3">
      <c r="A95" t="s">
        <v>263</v>
      </c>
      <c r="B95">
        <v>94</v>
      </c>
      <c r="C95" s="1">
        <v>45174</v>
      </c>
      <c r="D95" t="s">
        <v>20</v>
      </c>
      <c r="E95" t="s">
        <v>29</v>
      </c>
      <c r="F95">
        <v>2</v>
      </c>
      <c r="G95">
        <v>500</v>
      </c>
      <c r="H95" t="s">
        <v>18</v>
      </c>
      <c r="I95" t="s">
        <v>14</v>
      </c>
    </row>
    <row r="96" spans="1:9" x14ac:dyDescent="0.3">
      <c r="A96" t="s">
        <v>263</v>
      </c>
      <c r="B96">
        <v>95</v>
      </c>
      <c r="C96" s="1">
        <v>44946</v>
      </c>
      <c r="D96" t="s">
        <v>28</v>
      </c>
      <c r="E96" t="s">
        <v>10</v>
      </c>
      <c r="F96" t="s">
        <v>36</v>
      </c>
      <c r="G96" t="s">
        <v>23</v>
      </c>
      <c r="H96" t="s">
        <v>13</v>
      </c>
      <c r="I96" t="s">
        <v>14</v>
      </c>
    </row>
    <row r="97" spans="1:9" x14ac:dyDescent="0.3">
      <c r="A97" t="s">
        <v>263</v>
      </c>
      <c r="B97">
        <v>96</v>
      </c>
      <c r="C97" s="1">
        <v>45135</v>
      </c>
      <c r="D97" t="s">
        <v>9</v>
      </c>
      <c r="E97" t="s">
        <v>22</v>
      </c>
      <c r="F97">
        <v>4</v>
      </c>
      <c r="G97" t="s">
        <v>23</v>
      </c>
      <c r="H97" t="s">
        <v>18</v>
      </c>
      <c r="I97" t="s">
        <v>14</v>
      </c>
    </row>
    <row r="98" spans="1:9" x14ac:dyDescent="0.3">
      <c r="A98" t="s">
        <v>263</v>
      </c>
      <c r="B98">
        <v>97</v>
      </c>
      <c r="C98" s="1">
        <v>45040</v>
      </c>
      <c r="D98" t="s">
        <v>20</v>
      </c>
      <c r="E98" t="s">
        <v>22</v>
      </c>
      <c r="F98" t="s">
        <v>36</v>
      </c>
      <c r="G98" t="s">
        <v>12</v>
      </c>
      <c r="H98" t="s">
        <v>24</v>
      </c>
    </row>
    <row r="99" spans="1:9" x14ac:dyDescent="0.3">
      <c r="A99" t="s">
        <v>263</v>
      </c>
      <c r="B99">
        <v>98</v>
      </c>
      <c r="C99" s="1">
        <v>44962</v>
      </c>
      <c r="D99" t="s">
        <v>28</v>
      </c>
      <c r="E99" t="s">
        <v>17</v>
      </c>
      <c r="F99">
        <v>4</v>
      </c>
      <c r="G99" t="s">
        <v>23</v>
      </c>
      <c r="H99" t="s">
        <v>13</v>
      </c>
    </row>
    <row r="100" spans="1:9" x14ac:dyDescent="0.3">
      <c r="A100" t="s">
        <v>263</v>
      </c>
      <c r="B100">
        <v>99</v>
      </c>
      <c r="C100" s="1">
        <v>45118</v>
      </c>
      <c r="D100" t="s">
        <v>16</v>
      </c>
      <c r="E100" t="s">
        <v>10</v>
      </c>
      <c r="F100">
        <v>3</v>
      </c>
      <c r="G100">
        <v>1000</v>
      </c>
      <c r="H100" t="s">
        <v>13</v>
      </c>
    </row>
    <row r="101" spans="1:9" x14ac:dyDescent="0.3">
      <c r="A101" t="s">
        <v>263</v>
      </c>
      <c r="B101">
        <v>100</v>
      </c>
      <c r="C101" s="1">
        <v>45102</v>
      </c>
      <c r="D101" t="s">
        <v>16</v>
      </c>
      <c r="E101" t="s">
        <v>17</v>
      </c>
      <c r="F101">
        <v>5</v>
      </c>
      <c r="G101" t="s">
        <v>23</v>
      </c>
      <c r="H101" t="s">
        <v>18</v>
      </c>
      <c r="I101" t="s">
        <v>14</v>
      </c>
    </row>
    <row r="102" spans="1:9" x14ac:dyDescent="0.3">
      <c r="A102" t="s">
        <v>263</v>
      </c>
      <c r="B102">
        <v>101</v>
      </c>
      <c r="C102" s="1">
        <v>45037</v>
      </c>
      <c r="D102" t="s">
        <v>20</v>
      </c>
      <c r="E102" t="s">
        <v>17</v>
      </c>
      <c r="F102">
        <v>1</v>
      </c>
      <c r="G102" t="s">
        <v>12</v>
      </c>
      <c r="H102" t="s">
        <v>18</v>
      </c>
    </row>
    <row r="103" spans="1:9" x14ac:dyDescent="0.3">
      <c r="A103" t="s">
        <v>263</v>
      </c>
      <c r="B103">
        <v>102</v>
      </c>
      <c r="C103" s="1">
        <v>45006</v>
      </c>
      <c r="D103" t="s">
        <v>9</v>
      </c>
      <c r="E103" t="s">
        <v>10</v>
      </c>
      <c r="F103">
        <v>1</v>
      </c>
      <c r="G103">
        <v>700</v>
      </c>
      <c r="H103" t="s">
        <v>18</v>
      </c>
    </row>
    <row r="104" spans="1:9" x14ac:dyDescent="0.3">
      <c r="A104" t="s">
        <v>263</v>
      </c>
      <c r="B104">
        <v>103</v>
      </c>
      <c r="C104" s="1">
        <v>45274</v>
      </c>
      <c r="D104" t="s">
        <v>28</v>
      </c>
      <c r="E104" t="s">
        <v>29</v>
      </c>
      <c r="F104">
        <v>4</v>
      </c>
      <c r="G104" t="s">
        <v>12</v>
      </c>
      <c r="H104" t="s">
        <v>24</v>
      </c>
      <c r="I104" t="s">
        <v>14</v>
      </c>
    </row>
    <row r="105" spans="1:9" x14ac:dyDescent="0.3">
      <c r="A105" t="s">
        <v>263</v>
      </c>
      <c r="B105">
        <v>104</v>
      </c>
      <c r="C105" s="1">
        <v>44949</v>
      </c>
      <c r="D105" t="s">
        <v>28</v>
      </c>
      <c r="E105" t="s">
        <v>29</v>
      </c>
      <c r="F105">
        <v>2</v>
      </c>
      <c r="G105">
        <v>700</v>
      </c>
      <c r="H105" t="s">
        <v>26</v>
      </c>
      <c r="I105" t="s">
        <v>14</v>
      </c>
    </row>
    <row r="106" spans="1:9" x14ac:dyDescent="0.3">
      <c r="A106" t="s">
        <v>263</v>
      </c>
      <c r="B106">
        <v>105</v>
      </c>
      <c r="C106" s="1">
        <v>44991</v>
      </c>
      <c r="D106" t="s">
        <v>28</v>
      </c>
      <c r="E106" t="s">
        <v>17</v>
      </c>
      <c r="F106">
        <v>2</v>
      </c>
      <c r="G106">
        <v>500</v>
      </c>
      <c r="H106" t="s">
        <v>26</v>
      </c>
      <c r="I106" t="s">
        <v>14</v>
      </c>
    </row>
    <row r="107" spans="1:9" x14ac:dyDescent="0.3">
      <c r="A107" t="s">
        <v>263</v>
      </c>
      <c r="B107">
        <v>106</v>
      </c>
      <c r="C107" s="1">
        <v>44971</v>
      </c>
      <c r="D107" t="s">
        <v>9</v>
      </c>
      <c r="E107" t="s">
        <v>22</v>
      </c>
      <c r="F107">
        <v>4</v>
      </c>
      <c r="G107">
        <v>700</v>
      </c>
      <c r="H107" t="s">
        <v>18</v>
      </c>
    </row>
    <row r="108" spans="1:9" x14ac:dyDescent="0.3">
      <c r="A108" t="s">
        <v>263</v>
      </c>
      <c r="B108">
        <v>107</v>
      </c>
      <c r="C108" s="1">
        <v>45019</v>
      </c>
      <c r="D108" t="s">
        <v>20</v>
      </c>
      <c r="E108" t="s">
        <v>10</v>
      </c>
      <c r="F108">
        <v>5</v>
      </c>
      <c r="G108">
        <v>500</v>
      </c>
      <c r="H108" t="s">
        <v>18</v>
      </c>
      <c r="I108" t="s">
        <v>14</v>
      </c>
    </row>
    <row r="109" spans="1:9" x14ac:dyDescent="0.3">
      <c r="A109" t="s">
        <v>263</v>
      </c>
      <c r="B109">
        <v>108</v>
      </c>
      <c r="C109" s="1">
        <v>45257</v>
      </c>
      <c r="D109" t="s">
        <v>9</v>
      </c>
      <c r="E109" t="s">
        <v>10</v>
      </c>
      <c r="F109">
        <v>5</v>
      </c>
      <c r="G109">
        <v>500</v>
      </c>
      <c r="H109" t="s">
        <v>13</v>
      </c>
      <c r="I109" t="s">
        <v>14</v>
      </c>
    </row>
    <row r="110" spans="1:9" x14ac:dyDescent="0.3">
      <c r="A110" t="s">
        <v>263</v>
      </c>
      <c r="B110">
        <v>109</v>
      </c>
      <c r="C110" s="1">
        <v>45123</v>
      </c>
      <c r="D110" t="s">
        <v>9</v>
      </c>
      <c r="E110" t="s">
        <v>22</v>
      </c>
      <c r="F110" t="s">
        <v>36</v>
      </c>
      <c r="G110">
        <v>700</v>
      </c>
      <c r="H110" t="s">
        <v>18</v>
      </c>
      <c r="I110" t="s">
        <v>14</v>
      </c>
    </row>
    <row r="111" spans="1:9" x14ac:dyDescent="0.3">
      <c r="A111" t="s">
        <v>263</v>
      </c>
      <c r="B111">
        <v>110</v>
      </c>
      <c r="C111" s="1">
        <v>45194</v>
      </c>
      <c r="D111" t="s">
        <v>9</v>
      </c>
      <c r="E111" t="s">
        <v>29</v>
      </c>
      <c r="F111">
        <v>2</v>
      </c>
      <c r="G111">
        <v>500</v>
      </c>
      <c r="H111" t="s">
        <v>13</v>
      </c>
      <c r="I111" t="s">
        <v>14</v>
      </c>
    </row>
    <row r="112" spans="1:9" x14ac:dyDescent="0.3">
      <c r="A112" t="s">
        <v>263</v>
      </c>
      <c r="B112">
        <v>111</v>
      </c>
      <c r="C112" s="1">
        <v>45084</v>
      </c>
      <c r="D112" t="s">
        <v>9</v>
      </c>
      <c r="E112" t="s">
        <v>22</v>
      </c>
      <c r="F112">
        <v>5</v>
      </c>
      <c r="G112">
        <v>700</v>
      </c>
      <c r="H112" t="s">
        <v>13</v>
      </c>
      <c r="I112" t="s">
        <v>14</v>
      </c>
    </row>
    <row r="113" spans="1:9" x14ac:dyDescent="0.3">
      <c r="A113" t="s">
        <v>263</v>
      </c>
      <c r="B113">
        <v>112</v>
      </c>
      <c r="C113" s="1">
        <v>44985</v>
      </c>
      <c r="D113" t="s">
        <v>28</v>
      </c>
      <c r="E113" t="s">
        <v>17</v>
      </c>
      <c r="F113">
        <v>3</v>
      </c>
      <c r="G113" t="s">
        <v>23</v>
      </c>
      <c r="H113" t="s">
        <v>18</v>
      </c>
      <c r="I113" t="s">
        <v>14</v>
      </c>
    </row>
    <row r="114" spans="1:9" x14ac:dyDescent="0.3">
      <c r="A114" t="s">
        <v>263</v>
      </c>
      <c r="B114">
        <v>113</v>
      </c>
      <c r="C114" s="1">
        <v>45203</v>
      </c>
      <c r="D114" t="s">
        <v>28</v>
      </c>
      <c r="E114" t="s">
        <v>17</v>
      </c>
      <c r="F114">
        <v>2</v>
      </c>
      <c r="G114">
        <v>700</v>
      </c>
      <c r="H114" t="s">
        <v>13</v>
      </c>
    </row>
    <row r="115" spans="1:9" x14ac:dyDescent="0.3">
      <c r="A115" t="s">
        <v>263</v>
      </c>
      <c r="B115">
        <v>114</v>
      </c>
      <c r="C115" s="1">
        <v>45163</v>
      </c>
      <c r="D115" t="s">
        <v>9</v>
      </c>
      <c r="E115" t="s">
        <v>10</v>
      </c>
      <c r="F115" t="s">
        <v>11</v>
      </c>
      <c r="G115" t="s">
        <v>23</v>
      </c>
      <c r="H115" t="s">
        <v>13</v>
      </c>
      <c r="I115" t="s">
        <v>14</v>
      </c>
    </row>
    <row r="116" spans="1:9" x14ac:dyDescent="0.3">
      <c r="A116" t="s">
        <v>263</v>
      </c>
      <c r="B116">
        <v>115</v>
      </c>
      <c r="C116" s="1">
        <v>44948</v>
      </c>
      <c r="D116" t="s">
        <v>20</v>
      </c>
      <c r="E116" t="s">
        <v>22</v>
      </c>
      <c r="F116" t="s">
        <v>11</v>
      </c>
      <c r="G116" t="s">
        <v>12</v>
      </c>
      <c r="H116" t="s">
        <v>24</v>
      </c>
    </row>
    <row r="117" spans="1:9" x14ac:dyDescent="0.3">
      <c r="A117" t="s">
        <v>263</v>
      </c>
      <c r="B117">
        <v>116</v>
      </c>
      <c r="C117" s="1">
        <v>45262</v>
      </c>
      <c r="D117" t="s">
        <v>16</v>
      </c>
      <c r="E117" t="s">
        <v>10</v>
      </c>
      <c r="F117">
        <v>4</v>
      </c>
      <c r="G117" t="s">
        <v>12</v>
      </c>
      <c r="H117" t="s">
        <v>24</v>
      </c>
      <c r="I117" t="s">
        <v>14</v>
      </c>
    </row>
    <row r="118" spans="1:9" x14ac:dyDescent="0.3">
      <c r="A118" t="s">
        <v>263</v>
      </c>
      <c r="B118">
        <v>117</v>
      </c>
      <c r="C118" s="1">
        <v>45236</v>
      </c>
      <c r="D118" t="s">
        <v>20</v>
      </c>
      <c r="E118" t="s">
        <v>17</v>
      </c>
      <c r="F118">
        <v>5</v>
      </c>
      <c r="G118" t="s">
        <v>12</v>
      </c>
      <c r="H118" t="s">
        <v>18</v>
      </c>
      <c r="I118" t="s">
        <v>14</v>
      </c>
    </row>
    <row r="119" spans="1:9" x14ac:dyDescent="0.3">
      <c r="A119" t="s">
        <v>263</v>
      </c>
      <c r="B119">
        <v>118</v>
      </c>
      <c r="C119" s="1">
        <v>45122</v>
      </c>
      <c r="D119" t="s">
        <v>28</v>
      </c>
      <c r="E119" t="s">
        <v>29</v>
      </c>
      <c r="F119">
        <v>3</v>
      </c>
      <c r="G119" t="s">
        <v>23</v>
      </c>
      <c r="H119" t="s">
        <v>24</v>
      </c>
    </row>
    <row r="120" spans="1:9" x14ac:dyDescent="0.3">
      <c r="A120" t="s">
        <v>263</v>
      </c>
      <c r="B120">
        <v>119</v>
      </c>
      <c r="C120" s="1">
        <v>45124</v>
      </c>
      <c r="D120" t="s">
        <v>20</v>
      </c>
      <c r="E120" t="s">
        <v>22</v>
      </c>
      <c r="F120">
        <v>5</v>
      </c>
      <c r="G120">
        <v>700</v>
      </c>
      <c r="H120" t="s">
        <v>24</v>
      </c>
      <c r="I120" t="s">
        <v>14</v>
      </c>
    </row>
    <row r="121" spans="1:9" x14ac:dyDescent="0.3">
      <c r="A121" t="s">
        <v>263</v>
      </c>
      <c r="B121">
        <v>120</v>
      </c>
      <c r="C121" s="1">
        <v>45279</v>
      </c>
      <c r="D121" t="s">
        <v>16</v>
      </c>
      <c r="E121" t="s">
        <v>17</v>
      </c>
      <c r="F121">
        <v>5</v>
      </c>
      <c r="G121">
        <v>500</v>
      </c>
      <c r="H121" t="s">
        <v>26</v>
      </c>
      <c r="I121" t="s">
        <v>14</v>
      </c>
    </row>
    <row r="122" spans="1:9" x14ac:dyDescent="0.3">
      <c r="A122" t="s">
        <v>263</v>
      </c>
      <c r="B122">
        <v>121</v>
      </c>
      <c r="C122" s="1">
        <v>44971</v>
      </c>
      <c r="D122" t="s">
        <v>20</v>
      </c>
      <c r="E122" t="s">
        <v>17</v>
      </c>
      <c r="F122">
        <v>5</v>
      </c>
      <c r="G122" t="s">
        <v>23</v>
      </c>
      <c r="H122" t="s">
        <v>18</v>
      </c>
      <c r="I122" t="s">
        <v>14</v>
      </c>
    </row>
    <row r="123" spans="1:9" x14ac:dyDescent="0.3">
      <c r="A123" t="s">
        <v>263</v>
      </c>
      <c r="B123">
        <v>122</v>
      </c>
      <c r="C123" s="1">
        <v>45069</v>
      </c>
      <c r="D123" t="s">
        <v>20</v>
      </c>
      <c r="E123" t="s">
        <v>10</v>
      </c>
      <c r="F123" t="s">
        <v>11</v>
      </c>
      <c r="G123">
        <v>500</v>
      </c>
      <c r="H123" t="s">
        <v>24</v>
      </c>
      <c r="I123" t="s">
        <v>14</v>
      </c>
    </row>
    <row r="124" spans="1:9" x14ac:dyDescent="0.3">
      <c r="A124" t="s">
        <v>263</v>
      </c>
      <c r="B124">
        <v>123</v>
      </c>
      <c r="C124" s="1">
        <v>45057</v>
      </c>
      <c r="D124" t="s">
        <v>20</v>
      </c>
      <c r="E124" t="s">
        <v>29</v>
      </c>
      <c r="F124" t="s">
        <v>36</v>
      </c>
      <c r="G124" t="s">
        <v>12</v>
      </c>
      <c r="H124" t="s">
        <v>13</v>
      </c>
    </row>
    <row r="125" spans="1:9" x14ac:dyDescent="0.3">
      <c r="A125" t="s">
        <v>263</v>
      </c>
      <c r="B125">
        <v>124</v>
      </c>
      <c r="C125" s="1">
        <v>45029</v>
      </c>
      <c r="D125" t="s">
        <v>20</v>
      </c>
      <c r="E125" t="s">
        <v>10</v>
      </c>
      <c r="F125">
        <v>4</v>
      </c>
      <c r="G125">
        <v>500</v>
      </c>
      <c r="H125" t="s">
        <v>24</v>
      </c>
      <c r="I125" t="s">
        <v>14</v>
      </c>
    </row>
    <row r="126" spans="1:9" x14ac:dyDescent="0.3">
      <c r="A126" t="s">
        <v>263</v>
      </c>
      <c r="B126">
        <v>125</v>
      </c>
      <c r="C126" s="1">
        <v>45226</v>
      </c>
      <c r="D126" t="s">
        <v>28</v>
      </c>
      <c r="E126" t="s">
        <v>22</v>
      </c>
      <c r="F126" t="s">
        <v>11</v>
      </c>
      <c r="G126" t="s">
        <v>23</v>
      </c>
      <c r="H126" t="s">
        <v>13</v>
      </c>
      <c r="I126" t="s">
        <v>14</v>
      </c>
    </row>
    <row r="127" spans="1:9" x14ac:dyDescent="0.3">
      <c r="A127" t="s">
        <v>263</v>
      </c>
      <c r="B127">
        <v>126</v>
      </c>
      <c r="C127" s="1">
        <v>44975</v>
      </c>
      <c r="D127" t="s">
        <v>20</v>
      </c>
      <c r="E127" t="s">
        <v>22</v>
      </c>
      <c r="F127">
        <v>5</v>
      </c>
      <c r="G127">
        <v>700</v>
      </c>
      <c r="H127" t="s">
        <v>13</v>
      </c>
      <c r="I127" t="s">
        <v>14</v>
      </c>
    </row>
    <row r="128" spans="1:9" x14ac:dyDescent="0.3">
      <c r="A128" t="s">
        <v>263</v>
      </c>
      <c r="B128">
        <v>127</v>
      </c>
      <c r="C128" s="1">
        <v>45024</v>
      </c>
      <c r="D128" t="s">
        <v>28</v>
      </c>
      <c r="E128" t="s">
        <v>22</v>
      </c>
      <c r="F128">
        <v>4</v>
      </c>
      <c r="G128" t="s">
        <v>23</v>
      </c>
      <c r="H128" t="s">
        <v>26</v>
      </c>
      <c r="I128" t="s">
        <v>14</v>
      </c>
    </row>
    <row r="129" spans="1:9" x14ac:dyDescent="0.3">
      <c r="A129" t="s">
        <v>263</v>
      </c>
      <c r="B129">
        <v>128</v>
      </c>
      <c r="C129" s="1">
        <v>44972</v>
      </c>
      <c r="D129" t="s">
        <v>9</v>
      </c>
      <c r="E129" t="s">
        <v>22</v>
      </c>
      <c r="F129">
        <v>2</v>
      </c>
      <c r="G129">
        <v>1000</v>
      </c>
      <c r="H129" t="s">
        <v>26</v>
      </c>
    </row>
    <row r="130" spans="1:9" x14ac:dyDescent="0.3">
      <c r="A130" t="s">
        <v>263</v>
      </c>
      <c r="B130">
        <v>129</v>
      </c>
      <c r="C130" s="1">
        <v>44955</v>
      </c>
      <c r="D130" t="s">
        <v>9</v>
      </c>
      <c r="E130" t="s">
        <v>17</v>
      </c>
      <c r="F130" t="s">
        <v>36</v>
      </c>
      <c r="G130">
        <v>700</v>
      </c>
      <c r="H130" t="s">
        <v>18</v>
      </c>
    </row>
    <row r="131" spans="1:9" x14ac:dyDescent="0.3">
      <c r="A131" t="s">
        <v>263</v>
      </c>
      <c r="B131">
        <v>130</v>
      </c>
      <c r="C131" s="1">
        <v>45056</v>
      </c>
      <c r="D131" t="s">
        <v>16</v>
      </c>
      <c r="E131" t="s">
        <v>22</v>
      </c>
      <c r="F131">
        <v>2</v>
      </c>
      <c r="G131">
        <v>700</v>
      </c>
      <c r="H131" t="s">
        <v>24</v>
      </c>
      <c r="I131" t="s">
        <v>14</v>
      </c>
    </row>
    <row r="132" spans="1:9" x14ac:dyDescent="0.3">
      <c r="A132" t="s">
        <v>263</v>
      </c>
      <c r="B132">
        <v>131</v>
      </c>
      <c r="C132" s="1">
        <v>45035</v>
      </c>
      <c r="D132" t="s">
        <v>28</v>
      </c>
      <c r="E132" t="s">
        <v>17</v>
      </c>
      <c r="F132">
        <v>4</v>
      </c>
      <c r="G132">
        <v>500</v>
      </c>
      <c r="H132" t="s">
        <v>18</v>
      </c>
    </row>
    <row r="133" spans="1:9" x14ac:dyDescent="0.3">
      <c r="A133" t="s">
        <v>263</v>
      </c>
      <c r="B133">
        <v>132</v>
      </c>
      <c r="C133" s="1">
        <v>44980</v>
      </c>
      <c r="D133" t="s">
        <v>9</v>
      </c>
      <c r="E133" t="s">
        <v>22</v>
      </c>
      <c r="F133" t="s">
        <v>36</v>
      </c>
      <c r="G133">
        <v>700</v>
      </c>
      <c r="H133" t="s">
        <v>18</v>
      </c>
      <c r="I133" t="s">
        <v>14</v>
      </c>
    </row>
    <row r="134" spans="1:9" x14ac:dyDescent="0.3">
      <c r="A134" t="s">
        <v>263</v>
      </c>
      <c r="B134">
        <v>133</v>
      </c>
      <c r="C134" s="1">
        <v>45250</v>
      </c>
      <c r="D134" t="s">
        <v>28</v>
      </c>
      <c r="E134" t="s">
        <v>29</v>
      </c>
      <c r="F134">
        <v>1</v>
      </c>
      <c r="G134">
        <v>700</v>
      </c>
      <c r="H134" t="s">
        <v>18</v>
      </c>
      <c r="I134" t="s">
        <v>14</v>
      </c>
    </row>
    <row r="135" spans="1:9" x14ac:dyDescent="0.3">
      <c r="A135" t="s">
        <v>263</v>
      </c>
      <c r="B135">
        <v>134</v>
      </c>
      <c r="C135" s="1">
        <v>45068</v>
      </c>
      <c r="D135" t="s">
        <v>20</v>
      </c>
      <c r="E135" t="s">
        <v>17</v>
      </c>
      <c r="F135">
        <v>4</v>
      </c>
      <c r="G135">
        <v>1000</v>
      </c>
      <c r="H135" t="s">
        <v>18</v>
      </c>
      <c r="I135" t="s">
        <v>14</v>
      </c>
    </row>
    <row r="136" spans="1:9" x14ac:dyDescent="0.3">
      <c r="A136" t="s">
        <v>263</v>
      </c>
      <c r="B136">
        <v>135</v>
      </c>
      <c r="C136" s="1">
        <v>45140</v>
      </c>
      <c r="D136" t="s">
        <v>20</v>
      </c>
      <c r="E136" t="s">
        <v>29</v>
      </c>
      <c r="F136">
        <v>2</v>
      </c>
      <c r="G136">
        <v>700</v>
      </c>
      <c r="H136" t="s">
        <v>26</v>
      </c>
      <c r="I136" t="s">
        <v>14</v>
      </c>
    </row>
    <row r="137" spans="1:9" x14ac:dyDescent="0.3">
      <c r="A137" t="s">
        <v>263</v>
      </c>
      <c r="B137">
        <v>136</v>
      </c>
      <c r="C137" s="1">
        <v>45136</v>
      </c>
      <c r="D137" t="s">
        <v>28</v>
      </c>
      <c r="E137" t="s">
        <v>22</v>
      </c>
      <c r="F137" t="s">
        <v>11</v>
      </c>
      <c r="G137">
        <v>500</v>
      </c>
      <c r="H137" t="s">
        <v>26</v>
      </c>
    </row>
    <row r="138" spans="1:9" x14ac:dyDescent="0.3">
      <c r="A138" t="s">
        <v>263</v>
      </c>
      <c r="B138">
        <v>137</v>
      </c>
      <c r="C138" s="1">
        <v>45284</v>
      </c>
      <c r="D138" t="s">
        <v>16</v>
      </c>
      <c r="E138" t="s">
        <v>17</v>
      </c>
      <c r="F138">
        <v>2</v>
      </c>
      <c r="G138">
        <v>700</v>
      </c>
      <c r="H138" t="s">
        <v>26</v>
      </c>
    </row>
    <row r="139" spans="1:9" x14ac:dyDescent="0.3">
      <c r="A139" t="s">
        <v>263</v>
      </c>
      <c r="B139">
        <v>138</v>
      </c>
      <c r="C139" s="1">
        <v>45018</v>
      </c>
      <c r="D139" t="s">
        <v>20</v>
      </c>
      <c r="E139" t="s">
        <v>17</v>
      </c>
      <c r="F139">
        <v>5</v>
      </c>
      <c r="G139">
        <v>1000</v>
      </c>
      <c r="H139" t="s">
        <v>18</v>
      </c>
    </row>
    <row r="140" spans="1:9" x14ac:dyDescent="0.3">
      <c r="A140" t="s">
        <v>263</v>
      </c>
      <c r="B140">
        <v>139</v>
      </c>
      <c r="C140" s="1">
        <v>45256</v>
      </c>
      <c r="D140" t="s">
        <v>20</v>
      </c>
      <c r="E140" t="s">
        <v>17</v>
      </c>
      <c r="F140" t="s">
        <v>36</v>
      </c>
      <c r="G140" t="s">
        <v>23</v>
      </c>
      <c r="H140" t="s">
        <v>26</v>
      </c>
      <c r="I140" t="s">
        <v>14</v>
      </c>
    </row>
    <row r="141" spans="1:9" x14ac:dyDescent="0.3">
      <c r="A141" t="s">
        <v>263</v>
      </c>
      <c r="B141">
        <v>140</v>
      </c>
      <c r="C141" s="1">
        <v>45128</v>
      </c>
      <c r="D141" t="s">
        <v>16</v>
      </c>
      <c r="E141" t="s">
        <v>22</v>
      </c>
      <c r="F141">
        <v>2</v>
      </c>
      <c r="G141">
        <v>700</v>
      </c>
      <c r="H141" t="s">
        <v>18</v>
      </c>
    </row>
    <row r="142" spans="1:9" x14ac:dyDescent="0.3">
      <c r="A142" t="s">
        <v>263</v>
      </c>
      <c r="B142">
        <v>141</v>
      </c>
      <c r="C142" s="1">
        <v>45194</v>
      </c>
      <c r="D142" t="s">
        <v>20</v>
      </c>
      <c r="E142" t="s">
        <v>10</v>
      </c>
      <c r="F142" t="s">
        <v>11</v>
      </c>
      <c r="G142">
        <v>1000</v>
      </c>
      <c r="H142" t="s">
        <v>26</v>
      </c>
    </row>
    <row r="143" spans="1:9" x14ac:dyDescent="0.3">
      <c r="A143" t="s">
        <v>263</v>
      </c>
      <c r="B143">
        <v>142</v>
      </c>
      <c r="C143" s="1">
        <v>45273</v>
      </c>
      <c r="D143" t="s">
        <v>28</v>
      </c>
      <c r="E143" t="s">
        <v>10</v>
      </c>
      <c r="F143" t="s">
        <v>36</v>
      </c>
      <c r="G143" t="s">
        <v>23</v>
      </c>
      <c r="H143" t="s">
        <v>18</v>
      </c>
    </row>
    <row r="144" spans="1:9" x14ac:dyDescent="0.3">
      <c r="A144" t="s">
        <v>263</v>
      </c>
      <c r="B144">
        <v>143</v>
      </c>
      <c r="C144" s="1">
        <v>45078</v>
      </c>
      <c r="D144" t="s">
        <v>28</v>
      </c>
      <c r="E144" t="s">
        <v>17</v>
      </c>
      <c r="F144">
        <v>5</v>
      </c>
      <c r="G144">
        <v>500</v>
      </c>
      <c r="H144" t="s">
        <v>26</v>
      </c>
      <c r="I144" t="s">
        <v>14</v>
      </c>
    </row>
    <row r="145" spans="1:9" x14ac:dyDescent="0.3">
      <c r="A145" t="s">
        <v>263</v>
      </c>
      <c r="B145">
        <v>144</v>
      </c>
      <c r="C145" s="1">
        <v>45259</v>
      </c>
      <c r="D145" t="s">
        <v>9</v>
      </c>
      <c r="E145" t="s">
        <v>29</v>
      </c>
      <c r="F145" t="s">
        <v>36</v>
      </c>
      <c r="G145" t="s">
        <v>23</v>
      </c>
      <c r="H145" t="s">
        <v>13</v>
      </c>
    </row>
    <row r="146" spans="1:9" x14ac:dyDescent="0.3">
      <c r="A146" t="s">
        <v>263</v>
      </c>
      <c r="B146">
        <v>145</v>
      </c>
      <c r="C146" s="1">
        <v>45138</v>
      </c>
      <c r="D146" t="s">
        <v>9</v>
      </c>
      <c r="E146" t="s">
        <v>10</v>
      </c>
      <c r="F146" t="s">
        <v>11</v>
      </c>
      <c r="G146">
        <v>1000</v>
      </c>
      <c r="H146" t="s">
        <v>13</v>
      </c>
    </row>
    <row r="147" spans="1:9" x14ac:dyDescent="0.3">
      <c r="A147" t="s">
        <v>263</v>
      </c>
      <c r="B147">
        <v>146</v>
      </c>
      <c r="C147" s="1">
        <v>45209</v>
      </c>
      <c r="D147" t="s">
        <v>9</v>
      </c>
      <c r="E147" t="s">
        <v>10</v>
      </c>
      <c r="F147">
        <v>4</v>
      </c>
      <c r="G147">
        <v>500</v>
      </c>
      <c r="H147" t="s">
        <v>24</v>
      </c>
    </row>
    <row r="148" spans="1:9" x14ac:dyDescent="0.3">
      <c r="A148" t="s">
        <v>263</v>
      </c>
      <c r="B148">
        <v>147</v>
      </c>
      <c r="C148" s="1">
        <v>45102</v>
      </c>
      <c r="D148" t="s">
        <v>20</v>
      </c>
      <c r="E148" t="s">
        <v>10</v>
      </c>
      <c r="F148">
        <v>5</v>
      </c>
      <c r="G148">
        <v>700</v>
      </c>
      <c r="H148" t="s">
        <v>24</v>
      </c>
      <c r="I148" t="s">
        <v>14</v>
      </c>
    </row>
    <row r="149" spans="1:9" x14ac:dyDescent="0.3">
      <c r="A149" t="s">
        <v>263</v>
      </c>
      <c r="B149">
        <v>148</v>
      </c>
      <c r="C149" s="1">
        <v>45189</v>
      </c>
      <c r="D149" t="s">
        <v>28</v>
      </c>
      <c r="E149" t="s">
        <v>22</v>
      </c>
      <c r="F149" t="s">
        <v>36</v>
      </c>
      <c r="G149" t="s">
        <v>23</v>
      </c>
      <c r="H149" t="s">
        <v>13</v>
      </c>
      <c r="I149" t="s">
        <v>14</v>
      </c>
    </row>
    <row r="150" spans="1:9" x14ac:dyDescent="0.3">
      <c r="A150" t="s">
        <v>263</v>
      </c>
      <c r="B150">
        <v>149</v>
      </c>
      <c r="C150" s="1">
        <v>44939</v>
      </c>
      <c r="D150" t="s">
        <v>20</v>
      </c>
      <c r="E150" t="s">
        <v>17</v>
      </c>
      <c r="F150">
        <v>3</v>
      </c>
      <c r="G150" t="s">
        <v>12</v>
      </c>
      <c r="H150" t="s">
        <v>18</v>
      </c>
      <c r="I150" t="s">
        <v>14</v>
      </c>
    </row>
    <row r="151" spans="1:9" x14ac:dyDescent="0.3">
      <c r="A151" t="s">
        <v>263</v>
      </c>
      <c r="B151">
        <v>150</v>
      </c>
      <c r="C151" s="1">
        <v>44993</v>
      </c>
      <c r="D151" t="s">
        <v>28</v>
      </c>
      <c r="E151" t="s">
        <v>10</v>
      </c>
      <c r="F151">
        <v>4</v>
      </c>
      <c r="G151" t="s">
        <v>12</v>
      </c>
      <c r="H151" t="s">
        <v>26</v>
      </c>
    </row>
    <row r="152" spans="1:9" x14ac:dyDescent="0.3">
      <c r="A152" t="s">
        <v>263</v>
      </c>
      <c r="B152">
        <v>151</v>
      </c>
      <c r="C152" s="1">
        <v>45003</v>
      </c>
      <c r="D152" t="s">
        <v>16</v>
      </c>
      <c r="E152" t="s">
        <v>17</v>
      </c>
      <c r="F152">
        <v>5</v>
      </c>
      <c r="G152" t="s">
        <v>12</v>
      </c>
      <c r="H152" t="s">
        <v>18</v>
      </c>
      <c r="I152" t="s">
        <v>14</v>
      </c>
    </row>
    <row r="153" spans="1:9" x14ac:dyDescent="0.3">
      <c r="A153" t="s">
        <v>263</v>
      </c>
      <c r="B153">
        <v>152</v>
      </c>
      <c r="C153" s="1">
        <v>44986</v>
      </c>
      <c r="D153" t="s">
        <v>16</v>
      </c>
      <c r="E153" t="s">
        <v>22</v>
      </c>
      <c r="F153" t="s">
        <v>11</v>
      </c>
      <c r="G153">
        <v>700</v>
      </c>
      <c r="H153" t="s">
        <v>24</v>
      </c>
      <c r="I153" t="s">
        <v>14</v>
      </c>
    </row>
    <row r="154" spans="1:9" x14ac:dyDescent="0.3">
      <c r="A154" t="s">
        <v>263</v>
      </c>
      <c r="B154">
        <v>153</v>
      </c>
      <c r="C154" s="1">
        <v>45139</v>
      </c>
      <c r="D154" t="s">
        <v>9</v>
      </c>
      <c r="E154" t="s">
        <v>10</v>
      </c>
      <c r="F154">
        <v>2</v>
      </c>
      <c r="G154" t="s">
        <v>12</v>
      </c>
      <c r="H154" t="s">
        <v>13</v>
      </c>
      <c r="I154" t="s">
        <v>14</v>
      </c>
    </row>
    <row r="155" spans="1:9" x14ac:dyDescent="0.3">
      <c r="A155" t="s">
        <v>263</v>
      </c>
      <c r="B155">
        <v>154</v>
      </c>
      <c r="C155" s="1">
        <v>45035</v>
      </c>
      <c r="D155" t="s">
        <v>20</v>
      </c>
      <c r="E155" t="s">
        <v>10</v>
      </c>
      <c r="F155">
        <v>5</v>
      </c>
      <c r="G155" t="s">
        <v>23</v>
      </c>
      <c r="H155" t="s">
        <v>24</v>
      </c>
      <c r="I155" t="s">
        <v>14</v>
      </c>
    </row>
    <row r="156" spans="1:9" x14ac:dyDescent="0.3">
      <c r="A156" t="s">
        <v>263</v>
      </c>
      <c r="B156">
        <v>155</v>
      </c>
      <c r="C156" s="1">
        <v>45117</v>
      </c>
      <c r="D156" t="s">
        <v>16</v>
      </c>
      <c r="E156" t="s">
        <v>10</v>
      </c>
      <c r="F156">
        <v>1</v>
      </c>
      <c r="G156">
        <v>500</v>
      </c>
      <c r="H156" t="s">
        <v>13</v>
      </c>
    </row>
    <row r="157" spans="1:9" x14ac:dyDescent="0.3">
      <c r="A157" t="s">
        <v>263</v>
      </c>
      <c r="B157">
        <v>156</v>
      </c>
      <c r="C157" s="1">
        <v>45195</v>
      </c>
      <c r="D157" t="s">
        <v>20</v>
      </c>
      <c r="E157" t="s">
        <v>22</v>
      </c>
      <c r="F157" t="s">
        <v>11</v>
      </c>
      <c r="G157">
        <v>1000</v>
      </c>
      <c r="H157" t="s">
        <v>18</v>
      </c>
    </row>
    <row r="158" spans="1:9" x14ac:dyDescent="0.3">
      <c r="A158" t="s">
        <v>263</v>
      </c>
      <c r="B158">
        <v>157</v>
      </c>
      <c r="C158" s="1">
        <v>45004</v>
      </c>
      <c r="D158" t="s">
        <v>20</v>
      </c>
      <c r="E158" t="s">
        <v>22</v>
      </c>
      <c r="F158">
        <v>3</v>
      </c>
      <c r="G158" t="s">
        <v>23</v>
      </c>
      <c r="H158" t="s">
        <v>18</v>
      </c>
      <c r="I158" t="s">
        <v>14</v>
      </c>
    </row>
    <row r="159" spans="1:9" x14ac:dyDescent="0.3">
      <c r="A159" t="s">
        <v>263</v>
      </c>
      <c r="B159">
        <v>158</v>
      </c>
      <c r="C159" s="1">
        <v>44975</v>
      </c>
      <c r="D159" t="s">
        <v>20</v>
      </c>
      <c r="E159" t="s">
        <v>22</v>
      </c>
      <c r="F159">
        <v>1</v>
      </c>
      <c r="G159" t="s">
        <v>12</v>
      </c>
      <c r="H159" t="s">
        <v>13</v>
      </c>
      <c r="I159" t="s">
        <v>14</v>
      </c>
    </row>
    <row r="160" spans="1:9" x14ac:dyDescent="0.3">
      <c r="A160" t="s">
        <v>263</v>
      </c>
      <c r="B160">
        <v>159</v>
      </c>
      <c r="C160" s="1">
        <v>45097</v>
      </c>
      <c r="D160" t="s">
        <v>9</v>
      </c>
      <c r="E160" t="s">
        <v>17</v>
      </c>
      <c r="F160">
        <v>4</v>
      </c>
      <c r="G160">
        <v>500</v>
      </c>
      <c r="H160" t="s">
        <v>18</v>
      </c>
      <c r="I160" t="s">
        <v>14</v>
      </c>
    </row>
    <row r="161" spans="1:9" x14ac:dyDescent="0.3">
      <c r="A161" t="s">
        <v>263</v>
      </c>
      <c r="B161">
        <v>160</v>
      </c>
      <c r="C161" s="1">
        <v>45227</v>
      </c>
      <c r="D161" t="s">
        <v>9</v>
      </c>
      <c r="E161" t="s">
        <v>29</v>
      </c>
      <c r="F161">
        <v>4</v>
      </c>
      <c r="G161" t="s">
        <v>12</v>
      </c>
      <c r="H161" t="s">
        <v>26</v>
      </c>
    </row>
    <row r="162" spans="1:9" x14ac:dyDescent="0.3">
      <c r="A162" t="s">
        <v>263</v>
      </c>
      <c r="B162">
        <v>161</v>
      </c>
      <c r="C162" s="1">
        <v>45123</v>
      </c>
      <c r="D162" t="s">
        <v>16</v>
      </c>
      <c r="E162" t="s">
        <v>17</v>
      </c>
      <c r="F162">
        <v>5</v>
      </c>
      <c r="G162" t="s">
        <v>12</v>
      </c>
      <c r="H162" t="s">
        <v>24</v>
      </c>
      <c r="I162" t="s">
        <v>14</v>
      </c>
    </row>
    <row r="163" spans="1:9" x14ac:dyDescent="0.3">
      <c r="A163" t="s">
        <v>263</v>
      </c>
      <c r="B163">
        <v>162</v>
      </c>
      <c r="C163" s="1">
        <v>45189</v>
      </c>
      <c r="D163" t="s">
        <v>20</v>
      </c>
      <c r="E163" t="s">
        <v>29</v>
      </c>
      <c r="F163">
        <v>5</v>
      </c>
      <c r="G163" t="s">
        <v>12</v>
      </c>
      <c r="H163" t="s">
        <v>13</v>
      </c>
    </row>
    <row r="164" spans="1:9" x14ac:dyDescent="0.3">
      <c r="A164" t="s">
        <v>263</v>
      </c>
      <c r="B164">
        <v>163</v>
      </c>
      <c r="C164" s="1">
        <v>45243</v>
      </c>
      <c r="D164" t="s">
        <v>9</v>
      </c>
      <c r="E164" t="s">
        <v>10</v>
      </c>
      <c r="F164">
        <v>1</v>
      </c>
      <c r="G164">
        <v>700</v>
      </c>
      <c r="H164" t="s">
        <v>26</v>
      </c>
      <c r="I164" t="s">
        <v>14</v>
      </c>
    </row>
    <row r="165" spans="1:9" x14ac:dyDescent="0.3">
      <c r="A165" t="s">
        <v>263</v>
      </c>
      <c r="B165">
        <v>164</v>
      </c>
      <c r="C165" s="1">
        <v>45157</v>
      </c>
      <c r="D165" t="s">
        <v>16</v>
      </c>
      <c r="E165" t="s">
        <v>10</v>
      </c>
      <c r="F165">
        <v>1</v>
      </c>
      <c r="G165" t="s">
        <v>12</v>
      </c>
      <c r="H165" t="s">
        <v>18</v>
      </c>
      <c r="I165" t="s">
        <v>14</v>
      </c>
    </row>
    <row r="166" spans="1:9" x14ac:dyDescent="0.3">
      <c r="A166" t="s">
        <v>263</v>
      </c>
      <c r="B166">
        <v>165</v>
      </c>
      <c r="C166" s="1">
        <v>45279</v>
      </c>
      <c r="D166" t="s">
        <v>9</v>
      </c>
      <c r="E166" t="s">
        <v>10</v>
      </c>
      <c r="F166">
        <v>2</v>
      </c>
      <c r="G166" t="s">
        <v>23</v>
      </c>
      <c r="H166" t="s">
        <v>26</v>
      </c>
    </row>
    <row r="167" spans="1:9" x14ac:dyDescent="0.3">
      <c r="A167" t="s">
        <v>263</v>
      </c>
      <c r="B167">
        <v>166</v>
      </c>
      <c r="C167" s="1">
        <v>45273</v>
      </c>
      <c r="D167" t="s">
        <v>20</v>
      </c>
      <c r="E167" t="s">
        <v>10</v>
      </c>
      <c r="F167">
        <v>2</v>
      </c>
      <c r="G167">
        <v>1000</v>
      </c>
      <c r="H167" t="s">
        <v>26</v>
      </c>
      <c r="I167" t="s">
        <v>14</v>
      </c>
    </row>
    <row r="168" spans="1:9" x14ac:dyDescent="0.3">
      <c r="A168" t="s">
        <v>263</v>
      </c>
      <c r="B168">
        <v>167</v>
      </c>
      <c r="C168" s="1">
        <v>45250</v>
      </c>
      <c r="D168" t="s">
        <v>16</v>
      </c>
      <c r="E168" t="s">
        <v>29</v>
      </c>
      <c r="F168">
        <v>3</v>
      </c>
      <c r="G168" t="s">
        <v>23</v>
      </c>
      <c r="H168" t="s">
        <v>26</v>
      </c>
      <c r="I168" t="s">
        <v>14</v>
      </c>
    </row>
    <row r="169" spans="1:9" x14ac:dyDescent="0.3">
      <c r="A169" t="s">
        <v>263</v>
      </c>
      <c r="B169">
        <v>168</v>
      </c>
      <c r="C169" s="1">
        <v>44956</v>
      </c>
      <c r="D169" t="s">
        <v>20</v>
      </c>
      <c r="E169" t="s">
        <v>29</v>
      </c>
      <c r="F169">
        <v>4</v>
      </c>
      <c r="G169">
        <v>1000</v>
      </c>
      <c r="H169" t="s">
        <v>13</v>
      </c>
    </row>
    <row r="170" spans="1:9" x14ac:dyDescent="0.3">
      <c r="A170" t="s">
        <v>263</v>
      </c>
      <c r="B170">
        <v>169</v>
      </c>
      <c r="C170" s="1">
        <v>45123</v>
      </c>
      <c r="D170" t="s">
        <v>20</v>
      </c>
      <c r="E170" t="s">
        <v>22</v>
      </c>
      <c r="F170">
        <v>2</v>
      </c>
      <c r="G170" t="s">
        <v>12</v>
      </c>
      <c r="H170" t="s">
        <v>18</v>
      </c>
      <c r="I170" t="s">
        <v>14</v>
      </c>
    </row>
    <row r="171" spans="1:9" x14ac:dyDescent="0.3">
      <c r="A171" t="s">
        <v>263</v>
      </c>
      <c r="B171">
        <v>170</v>
      </c>
      <c r="C171" s="1">
        <v>45202</v>
      </c>
      <c r="D171" t="s">
        <v>16</v>
      </c>
      <c r="E171" t="s">
        <v>10</v>
      </c>
      <c r="F171">
        <v>5</v>
      </c>
      <c r="G171">
        <v>500</v>
      </c>
      <c r="H171" t="s">
        <v>26</v>
      </c>
    </row>
    <row r="172" spans="1:9" x14ac:dyDescent="0.3">
      <c r="A172" t="s">
        <v>263</v>
      </c>
      <c r="B172">
        <v>171</v>
      </c>
      <c r="C172" s="1">
        <v>45290</v>
      </c>
      <c r="D172" t="s">
        <v>28</v>
      </c>
      <c r="E172" t="s">
        <v>22</v>
      </c>
      <c r="F172">
        <v>3</v>
      </c>
      <c r="G172">
        <v>1000</v>
      </c>
      <c r="H172" t="s">
        <v>13</v>
      </c>
    </row>
    <row r="173" spans="1:9" x14ac:dyDescent="0.3">
      <c r="A173" t="s">
        <v>263</v>
      </c>
      <c r="B173">
        <v>172</v>
      </c>
      <c r="C173" s="1">
        <v>45016</v>
      </c>
      <c r="D173" t="s">
        <v>20</v>
      </c>
      <c r="E173" t="s">
        <v>29</v>
      </c>
      <c r="F173">
        <v>1</v>
      </c>
      <c r="G173" t="s">
        <v>12</v>
      </c>
      <c r="H173" t="s">
        <v>26</v>
      </c>
      <c r="I173" t="s">
        <v>14</v>
      </c>
    </row>
    <row r="174" spans="1:9" x14ac:dyDescent="0.3">
      <c r="A174" t="s">
        <v>263</v>
      </c>
      <c r="B174">
        <v>173</v>
      </c>
      <c r="C174" s="1">
        <v>45012</v>
      </c>
      <c r="D174" t="s">
        <v>20</v>
      </c>
      <c r="E174" t="s">
        <v>17</v>
      </c>
      <c r="F174">
        <v>4</v>
      </c>
      <c r="G174" t="s">
        <v>12</v>
      </c>
      <c r="H174" t="s">
        <v>13</v>
      </c>
      <c r="I174" t="s">
        <v>14</v>
      </c>
    </row>
    <row r="175" spans="1:9" x14ac:dyDescent="0.3">
      <c r="A175" t="s">
        <v>263</v>
      </c>
      <c r="B175">
        <v>174</v>
      </c>
      <c r="C175" s="1">
        <v>45212</v>
      </c>
      <c r="D175" t="s">
        <v>16</v>
      </c>
      <c r="E175" t="s">
        <v>17</v>
      </c>
      <c r="F175">
        <v>3</v>
      </c>
      <c r="G175" t="s">
        <v>12</v>
      </c>
      <c r="H175" t="s">
        <v>18</v>
      </c>
    </row>
    <row r="176" spans="1:9" x14ac:dyDescent="0.3">
      <c r="A176" t="s">
        <v>263</v>
      </c>
      <c r="B176">
        <v>175</v>
      </c>
      <c r="C176" s="1">
        <v>45068</v>
      </c>
      <c r="D176" t="s">
        <v>28</v>
      </c>
      <c r="E176" t="s">
        <v>10</v>
      </c>
      <c r="F176">
        <v>1</v>
      </c>
      <c r="G176" t="s">
        <v>23</v>
      </c>
      <c r="H176" t="s">
        <v>13</v>
      </c>
    </row>
    <row r="177" spans="1:9" x14ac:dyDescent="0.3">
      <c r="A177" t="s">
        <v>263</v>
      </c>
      <c r="B177">
        <v>176</v>
      </c>
      <c r="C177" s="1">
        <v>45269</v>
      </c>
      <c r="D177" t="s">
        <v>20</v>
      </c>
      <c r="E177" t="s">
        <v>17</v>
      </c>
      <c r="F177">
        <v>4</v>
      </c>
      <c r="G177">
        <v>500</v>
      </c>
      <c r="H177" t="s">
        <v>18</v>
      </c>
      <c r="I177" t="s">
        <v>14</v>
      </c>
    </row>
    <row r="178" spans="1:9" x14ac:dyDescent="0.3">
      <c r="A178" t="s">
        <v>263</v>
      </c>
      <c r="B178">
        <v>177</v>
      </c>
      <c r="C178" s="1">
        <v>45010</v>
      </c>
      <c r="D178" t="s">
        <v>9</v>
      </c>
      <c r="E178" t="s">
        <v>17</v>
      </c>
      <c r="F178">
        <v>3</v>
      </c>
      <c r="G178">
        <v>1000</v>
      </c>
      <c r="H178" t="s">
        <v>24</v>
      </c>
      <c r="I178" t="s">
        <v>14</v>
      </c>
    </row>
    <row r="179" spans="1:9" x14ac:dyDescent="0.3">
      <c r="A179" t="s">
        <v>263</v>
      </c>
      <c r="B179">
        <v>178</v>
      </c>
      <c r="C179" s="1">
        <v>45278</v>
      </c>
      <c r="D179" t="s">
        <v>20</v>
      </c>
      <c r="E179" t="s">
        <v>17</v>
      </c>
      <c r="F179">
        <v>5</v>
      </c>
      <c r="G179">
        <v>500</v>
      </c>
      <c r="H179" t="s">
        <v>18</v>
      </c>
    </row>
    <row r="180" spans="1:9" x14ac:dyDescent="0.3">
      <c r="A180" t="s">
        <v>263</v>
      </c>
      <c r="B180">
        <v>179</v>
      </c>
      <c r="C180" s="1">
        <v>45287</v>
      </c>
      <c r="D180" t="s">
        <v>16</v>
      </c>
      <c r="E180" t="s">
        <v>22</v>
      </c>
      <c r="F180">
        <v>3</v>
      </c>
      <c r="G180">
        <v>1000</v>
      </c>
      <c r="H180" t="s">
        <v>24</v>
      </c>
      <c r="I180" t="s">
        <v>14</v>
      </c>
    </row>
    <row r="181" spans="1:9" x14ac:dyDescent="0.3">
      <c r="A181" t="s">
        <v>263</v>
      </c>
      <c r="B181">
        <v>180</v>
      </c>
      <c r="C181" s="1">
        <v>45131</v>
      </c>
      <c r="D181" t="s">
        <v>20</v>
      </c>
      <c r="E181" t="s">
        <v>22</v>
      </c>
      <c r="F181">
        <v>1</v>
      </c>
      <c r="G181">
        <v>700</v>
      </c>
      <c r="H181" t="s">
        <v>18</v>
      </c>
      <c r="I181" t="s">
        <v>14</v>
      </c>
    </row>
    <row r="182" spans="1:9" x14ac:dyDescent="0.3">
      <c r="A182" t="s">
        <v>263</v>
      </c>
      <c r="B182">
        <v>181</v>
      </c>
      <c r="C182" s="1">
        <v>44973</v>
      </c>
      <c r="D182" t="s">
        <v>9</v>
      </c>
      <c r="E182" t="s">
        <v>10</v>
      </c>
      <c r="F182" t="s">
        <v>36</v>
      </c>
      <c r="G182">
        <v>1000</v>
      </c>
      <c r="H182" t="s">
        <v>13</v>
      </c>
      <c r="I182" t="s">
        <v>14</v>
      </c>
    </row>
    <row r="183" spans="1:9" x14ac:dyDescent="0.3">
      <c r="A183" t="s">
        <v>263</v>
      </c>
      <c r="B183">
        <v>182</v>
      </c>
      <c r="C183" s="1">
        <v>45147</v>
      </c>
      <c r="D183" t="s">
        <v>9</v>
      </c>
      <c r="E183" t="s">
        <v>22</v>
      </c>
      <c r="F183">
        <v>4</v>
      </c>
      <c r="G183">
        <v>1000</v>
      </c>
      <c r="H183" t="s">
        <v>26</v>
      </c>
      <c r="I183" t="s">
        <v>14</v>
      </c>
    </row>
    <row r="184" spans="1:9" x14ac:dyDescent="0.3">
      <c r="A184" t="s">
        <v>263</v>
      </c>
      <c r="B184">
        <v>183</v>
      </c>
      <c r="C184" s="1">
        <v>45036</v>
      </c>
      <c r="D184" t="s">
        <v>16</v>
      </c>
      <c r="E184" t="s">
        <v>29</v>
      </c>
      <c r="F184">
        <v>5</v>
      </c>
      <c r="G184" t="s">
        <v>23</v>
      </c>
      <c r="H184" t="s">
        <v>18</v>
      </c>
      <c r="I184" t="s">
        <v>14</v>
      </c>
    </row>
    <row r="185" spans="1:9" x14ac:dyDescent="0.3">
      <c r="A185" t="s">
        <v>263</v>
      </c>
      <c r="B185">
        <v>184</v>
      </c>
      <c r="C185" s="1">
        <v>45038</v>
      </c>
      <c r="D185" t="s">
        <v>9</v>
      </c>
      <c r="E185" t="s">
        <v>10</v>
      </c>
      <c r="F185" t="s">
        <v>36</v>
      </c>
      <c r="G185">
        <v>700</v>
      </c>
      <c r="H185" t="s">
        <v>26</v>
      </c>
      <c r="I185" t="s">
        <v>14</v>
      </c>
    </row>
    <row r="186" spans="1:9" x14ac:dyDescent="0.3">
      <c r="A186" t="s">
        <v>263</v>
      </c>
      <c r="B186">
        <v>185</v>
      </c>
      <c r="C186" s="1">
        <v>44985</v>
      </c>
      <c r="D186" t="s">
        <v>9</v>
      </c>
      <c r="E186" t="s">
        <v>10</v>
      </c>
      <c r="F186">
        <v>3</v>
      </c>
      <c r="G186" t="s">
        <v>23</v>
      </c>
      <c r="H186" t="s">
        <v>13</v>
      </c>
    </row>
    <row r="187" spans="1:9" x14ac:dyDescent="0.3">
      <c r="A187" t="s">
        <v>263</v>
      </c>
      <c r="B187">
        <v>186</v>
      </c>
      <c r="C187" s="1">
        <v>45040</v>
      </c>
      <c r="D187" t="s">
        <v>16</v>
      </c>
      <c r="E187" t="s">
        <v>22</v>
      </c>
      <c r="F187" t="s">
        <v>11</v>
      </c>
      <c r="G187">
        <v>500</v>
      </c>
      <c r="H187" t="s">
        <v>26</v>
      </c>
      <c r="I187" t="s">
        <v>14</v>
      </c>
    </row>
    <row r="188" spans="1:9" x14ac:dyDescent="0.3">
      <c r="A188" t="s">
        <v>263</v>
      </c>
      <c r="B188">
        <v>187</v>
      </c>
      <c r="C188" s="1">
        <v>45079</v>
      </c>
      <c r="D188" t="s">
        <v>28</v>
      </c>
      <c r="E188" t="s">
        <v>17</v>
      </c>
      <c r="F188">
        <v>3</v>
      </c>
      <c r="G188">
        <v>700</v>
      </c>
      <c r="H188" t="s">
        <v>24</v>
      </c>
      <c r="I188" t="s">
        <v>14</v>
      </c>
    </row>
    <row r="189" spans="1:9" x14ac:dyDescent="0.3">
      <c r="A189" t="s">
        <v>263</v>
      </c>
      <c r="B189">
        <v>188</v>
      </c>
      <c r="C189" s="1">
        <v>44975</v>
      </c>
      <c r="D189" t="s">
        <v>9</v>
      </c>
      <c r="E189" t="s">
        <v>29</v>
      </c>
      <c r="F189" t="s">
        <v>36</v>
      </c>
      <c r="G189" t="s">
        <v>23</v>
      </c>
      <c r="H189" t="s">
        <v>24</v>
      </c>
      <c r="I189" t="s">
        <v>14</v>
      </c>
    </row>
    <row r="190" spans="1:9" x14ac:dyDescent="0.3">
      <c r="A190" t="s">
        <v>263</v>
      </c>
      <c r="B190">
        <v>189</v>
      </c>
      <c r="C190" s="1">
        <v>45163</v>
      </c>
      <c r="D190" t="s">
        <v>16</v>
      </c>
      <c r="E190" t="s">
        <v>29</v>
      </c>
      <c r="F190">
        <v>3</v>
      </c>
      <c r="G190" t="s">
        <v>23</v>
      </c>
      <c r="H190" t="s">
        <v>26</v>
      </c>
      <c r="I190" t="s">
        <v>14</v>
      </c>
    </row>
    <row r="191" spans="1:9" x14ac:dyDescent="0.3">
      <c r="A191" t="s">
        <v>263</v>
      </c>
      <c r="B191">
        <v>190</v>
      </c>
      <c r="C191" s="1">
        <v>45093</v>
      </c>
      <c r="D191" t="s">
        <v>28</v>
      </c>
      <c r="E191" t="s">
        <v>22</v>
      </c>
      <c r="F191">
        <v>1</v>
      </c>
      <c r="G191">
        <v>700</v>
      </c>
      <c r="H191" t="s">
        <v>24</v>
      </c>
      <c r="I191" t="s">
        <v>14</v>
      </c>
    </row>
    <row r="192" spans="1:9" x14ac:dyDescent="0.3">
      <c r="A192" t="s">
        <v>263</v>
      </c>
      <c r="B192">
        <v>191</v>
      </c>
      <c r="C192" s="1">
        <v>44981</v>
      </c>
      <c r="D192" t="s">
        <v>16</v>
      </c>
      <c r="E192" t="s">
        <v>29</v>
      </c>
      <c r="F192">
        <v>3</v>
      </c>
      <c r="G192" t="s">
        <v>23</v>
      </c>
      <c r="H192" t="s">
        <v>24</v>
      </c>
      <c r="I192" t="s">
        <v>14</v>
      </c>
    </row>
    <row r="193" spans="1:9" x14ac:dyDescent="0.3">
      <c r="A193" t="s">
        <v>263</v>
      </c>
      <c r="B193">
        <v>192</v>
      </c>
      <c r="C193" s="1">
        <v>45130</v>
      </c>
      <c r="D193" t="s">
        <v>9</v>
      </c>
      <c r="E193" t="s">
        <v>17</v>
      </c>
      <c r="F193" t="s">
        <v>11</v>
      </c>
      <c r="G193">
        <v>1000</v>
      </c>
      <c r="H193" t="s">
        <v>13</v>
      </c>
    </row>
    <row r="194" spans="1:9" x14ac:dyDescent="0.3">
      <c r="A194" t="s">
        <v>263</v>
      </c>
      <c r="B194">
        <v>193</v>
      </c>
      <c r="C194" s="1">
        <v>44997</v>
      </c>
      <c r="D194" t="s">
        <v>20</v>
      </c>
      <c r="E194" t="s">
        <v>17</v>
      </c>
      <c r="F194" t="s">
        <v>11</v>
      </c>
      <c r="G194" t="s">
        <v>12</v>
      </c>
      <c r="H194" t="s">
        <v>13</v>
      </c>
      <c r="I194" t="s">
        <v>14</v>
      </c>
    </row>
    <row r="195" spans="1:9" x14ac:dyDescent="0.3">
      <c r="A195" t="s">
        <v>263</v>
      </c>
      <c r="B195">
        <v>194</v>
      </c>
      <c r="C195" s="1">
        <v>45159</v>
      </c>
      <c r="D195" t="s">
        <v>28</v>
      </c>
      <c r="E195" t="s">
        <v>17</v>
      </c>
      <c r="F195">
        <v>5</v>
      </c>
      <c r="G195">
        <v>1000</v>
      </c>
      <c r="H195" t="s">
        <v>26</v>
      </c>
      <c r="I195" t="s">
        <v>14</v>
      </c>
    </row>
    <row r="196" spans="1:9" x14ac:dyDescent="0.3">
      <c r="A196" t="s">
        <v>263</v>
      </c>
      <c r="B196">
        <v>195</v>
      </c>
      <c r="C196" s="1">
        <v>45059</v>
      </c>
      <c r="D196" t="s">
        <v>20</v>
      </c>
      <c r="E196" t="s">
        <v>17</v>
      </c>
      <c r="F196">
        <v>2</v>
      </c>
      <c r="G196" t="s">
        <v>12</v>
      </c>
      <c r="H196" t="s">
        <v>26</v>
      </c>
    </row>
    <row r="197" spans="1:9" x14ac:dyDescent="0.3">
      <c r="A197" t="s">
        <v>263</v>
      </c>
      <c r="B197">
        <v>196</v>
      </c>
      <c r="C197" s="1">
        <v>45177</v>
      </c>
      <c r="D197" t="s">
        <v>16</v>
      </c>
      <c r="E197" t="s">
        <v>17</v>
      </c>
      <c r="F197">
        <v>4</v>
      </c>
      <c r="G197">
        <v>700</v>
      </c>
      <c r="H197" t="s">
        <v>26</v>
      </c>
    </row>
    <row r="198" spans="1:9" x14ac:dyDescent="0.3">
      <c r="A198" t="s">
        <v>263</v>
      </c>
      <c r="B198">
        <v>197</v>
      </c>
      <c r="C198" s="1">
        <v>45216</v>
      </c>
      <c r="D198" t="s">
        <v>28</v>
      </c>
      <c r="E198" t="s">
        <v>17</v>
      </c>
      <c r="F198" t="s">
        <v>36</v>
      </c>
      <c r="G198">
        <v>1000</v>
      </c>
      <c r="H198" t="s">
        <v>24</v>
      </c>
    </row>
    <row r="199" spans="1:9" x14ac:dyDescent="0.3">
      <c r="A199" t="s">
        <v>263</v>
      </c>
      <c r="B199">
        <v>198</v>
      </c>
      <c r="C199" s="1">
        <v>44982</v>
      </c>
      <c r="D199" t="s">
        <v>28</v>
      </c>
      <c r="E199" t="s">
        <v>17</v>
      </c>
      <c r="F199" t="s">
        <v>36</v>
      </c>
      <c r="G199">
        <v>500</v>
      </c>
      <c r="H199" t="s">
        <v>24</v>
      </c>
      <c r="I199" t="s">
        <v>14</v>
      </c>
    </row>
    <row r="200" spans="1:9" x14ac:dyDescent="0.3">
      <c r="A200" t="s">
        <v>263</v>
      </c>
      <c r="B200">
        <v>199</v>
      </c>
      <c r="C200" s="1">
        <v>45226</v>
      </c>
      <c r="D200" t="s">
        <v>9</v>
      </c>
      <c r="E200" t="s">
        <v>10</v>
      </c>
      <c r="F200" t="s">
        <v>11</v>
      </c>
      <c r="G200">
        <v>700</v>
      </c>
      <c r="H200" t="s">
        <v>13</v>
      </c>
      <c r="I200" t="s">
        <v>14</v>
      </c>
    </row>
    <row r="201" spans="1:9" x14ac:dyDescent="0.3">
      <c r="A201" t="s">
        <v>263</v>
      </c>
      <c r="B201">
        <v>200</v>
      </c>
      <c r="C201" s="1">
        <v>44991</v>
      </c>
      <c r="D201" t="s">
        <v>16</v>
      </c>
      <c r="E201" t="s">
        <v>22</v>
      </c>
      <c r="F201" t="s">
        <v>36</v>
      </c>
      <c r="G201" t="s">
        <v>12</v>
      </c>
      <c r="H2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7944-C94C-4E40-913C-ABAADD7C191F}">
  <dimension ref="B2:G17"/>
  <sheetViews>
    <sheetView workbookViewId="0">
      <selection activeCell="G14" sqref="G14"/>
    </sheetView>
  </sheetViews>
  <sheetFormatPr defaultRowHeight="14.4" x14ac:dyDescent="0.3"/>
  <cols>
    <col min="2" max="2" width="16.21875" customWidth="1"/>
    <col min="3" max="3" width="13.109375" bestFit="1" customWidth="1"/>
    <col min="6" max="6" width="18.77734375" customWidth="1"/>
    <col min="7" max="7" width="13.44140625" customWidth="1"/>
  </cols>
  <sheetData>
    <row r="2" spans="2:7" ht="18" x14ac:dyDescent="0.35">
      <c r="B2" s="9" t="s">
        <v>250</v>
      </c>
      <c r="C2" s="8"/>
      <c r="F2" s="9" t="s">
        <v>253</v>
      </c>
      <c r="G2" s="9"/>
    </row>
    <row r="3" spans="2:7" x14ac:dyDescent="0.3">
      <c r="B3" s="5" t="s">
        <v>233</v>
      </c>
      <c r="C3" t="s">
        <v>249</v>
      </c>
      <c r="F3" s="5" t="s">
        <v>229</v>
      </c>
      <c r="G3" t="s">
        <v>252</v>
      </c>
    </row>
    <row r="4" spans="2:7" x14ac:dyDescent="0.3">
      <c r="B4" s="6" t="s">
        <v>232</v>
      </c>
      <c r="C4" s="7">
        <v>149400</v>
      </c>
      <c r="F4" s="6" t="s">
        <v>246</v>
      </c>
      <c r="G4" s="7">
        <v>148800</v>
      </c>
    </row>
    <row r="5" spans="2:7" x14ac:dyDescent="0.3">
      <c r="B5" s="6" t="s">
        <v>28</v>
      </c>
      <c r="C5" s="7">
        <v>140200</v>
      </c>
      <c r="F5" s="6" t="s">
        <v>18</v>
      </c>
      <c r="G5" s="7">
        <v>143800</v>
      </c>
    </row>
    <row r="6" spans="2:7" x14ac:dyDescent="0.3">
      <c r="B6" s="6" t="s">
        <v>230</v>
      </c>
      <c r="C6" s="7">
        <v>133000</v>
      </c>
      <c r="F6" s="6" t="s">
        <v>245</v>
      </c>
      <c r="G6" s="7">
        <v>139500</v>
      </c>
    </row>
    <row r="7" spans="2:7" x14ac:dyDescent="0.3">
      <c r="B7" s="6" t="s">
        <v>231</v>
      </c>
      <c r="C7" s="7">
        <v>122800</v>
      </c>
      <c r="F7" s="6" t="s">
        <v>13</v>
      </c>
      <c r="G7" s="7">
        <v>113300</v>
      </c>
    </row>
    <row r="8" spans="2:7" x14ac:dyDescent="0.3">
      <c r="B8" s="6" t="s">
        <v>248</v>
      </c>
      <c r="C8" s="7">
        <v>545400</v>
      </c>
      <c r="F8" s="6" t="s">
        <v>248</v>
      </c>
      <c r="G8" s="7">
        <v>545400</v>
      </c>
    </row>
    <row r="11" spans="2:7" ht="18" x14ac:dyDescent="0.3">
      <c r="B11" s="10" t="s">
        <v>251</v>
      </c>
      <c r="C11" s="10"/>
    </row>
    <row r="12" spans="2:7" x14ac:dyDescent="0.3">
      <c r="B12" s="5" t="s">
        <v>227</v>
      </c>
      <c r="C12" t="s">
        <v>249</v>
      </c>
    </row>
    <row r="13" spans="2:7" x14ac:dyDescent="0.3">
      <c r="B13" s="6" t="s">
        <v>17</v>
      </c>
      <c r="C13" s="7">
        <v>154700</v>
      </c>
    </row>
    <row r="14" spans="2:7" x14ac:dyDescent="0.3">
      <c r="B14" s="6" t="s">
        <v>22</v>
      </c>
      <c r="C14" s="7">
        <v>148100</v>
      </c>
    </row>
    <row r="15" spans="2:7" x14ac:dyDescent="0.3">
      <c r="B15" s="6" t="s">
        <v>234</v>
      </c>
      <c r="C15" s="7">
        <v>130900</v>
      </c>
    </row>
    <row r="16" spans="2:7" x14ac:dyDescent="0.3">
      <c r="B16" s="6" t="s">
        <v>235</v>
      </c>
      <c r="C16" s="7">
        <v>111700</v>
      </c>
    </row>
    <row r="17" spans="2:3" x14ac:dyDescent="0.3">
      <c r="B17" s="6" t="s">
        <v>248</v>
      </c>
      <c r="C17" s="7">
        <v>545400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09E6-FA27-4A3E-8277-40282203E19F}">
  <dimension ref="A1:J206"/>
  <sheetViews>
    <sheetView topLeftCell="A6" workbookViewId="0">
      <selection activeCell="A6" sqref="A6:J206"/>
    </sheetView>
  </sheetViews>
  <sheetFormatPr defaultRowHeight="14.4" x14ac:dyDescent="0.3"/>
  <cols>
    <col min="1" max="1" width="17.77734375" customWidth="1"/>
    <col min="2" max="3" width="31.6640625" customWidth="1"/>
    <col min="4" max="4" width="16.5546875" style="2" customWidth="1"/>
    <col min="5" max="5" width="15.6640625" style="2" customWidth="1"/>
    <col min="6" max="6" width="14.77734375" customWidth="1"/>
    <col min="7" max="7" width="10.5546875" customWidth="1"/>
    <col min="8" max="8" width="16.21875" customWidth="1"/>
    <col min="10" max="10" width="10.21875" customWidth="1"/>
    <col min="12" max="12" width="10.44140625" customWidth="1"/>
  </cols>
  <sheetData>
    <row r="1" spans="1:10" ht="18" x14ac:dyDescent="0.35">
      <c r="A1" s="12" t="s">
        <v>255</v>
      </c>
      <c r="B1" s="11" t="s">
        <v>256</v>
      </c>
    </row>
    <row r="2" spans="1:10" x14ac:dyDescent="0.3">
      <c r="A2" s="14" t="s">
        <v>249</v>
      </c>
      <c r="B2" s="13">
        <f>SUM(J:J)</f>
        <v>545400</v>
      </c>
    </row>
    <row r="3" spans="1:10" x14ac:dyDescent="0.3">
      <c r="A3" s="14" t="s">
        <v>257</v>
      </c>
      <c r="B3">
        <f>COUNTA(A:A)</f>
        <v>205</v>
      </c>
    </row>
    <row r="4" spans="1:10" x14ac:dyDescent="0.3">
      <c r="A4" s="14" t="s">
        <v>258</v>
      </c>
      <c r="B4" s="3">
        <f>B2/B3</f>
        <v>2660.4878048780488</v>
      </c>
    </row>
    <row r="6" spans="1:10" x14ac:dyDescent="0.3">
      <c r="A6" t="s">
        <v>225</v>
      </c>
      <c r="B6" t="s">
        <v>226</v>
      </c>
      <c r="C6" t="s">
        <v>254</v>
      </c>
      <c r="D6" s="2" t="s">
        <v>233</v>
      </c>
      <c r="E6" s="2" t="s">
        <v>227</v>
      </c>
      <c r="F6" t="s">
        <v>241</v>
      </c>
      <c r="G6" t="s">
        <v>228</v>
      </c>
      <c r="H6" t="s">
        <v>229</v>
      </c>
      <c r="I6" t="s">
        <v>7</v>
      </c>
      <c r="J6" t="s">
        <v>247</v>
      </c>
    </row>
    <row r="7" spans="1:10" x14ac:dyDescent="0.3">
      <c r="A7" t="s">
        <v>8</v>
      </c>
      <c r="B7" s="1">
        <v>45002</v>
      </c>
      <c r="C7" s="1" t="str">
        <f t="shared" ref="C7:C38" si="0">TEXT(B7,"MMMM")</f>
        <v>March</v>
      </c>
      <c r="D7" s="2" t="s">
        <v>230</v>
      </c>
      <c r="E7" s="2" t="s">
        <v>234</v>
      </c>
      <c r="F7" t="s">
        <v>236</v>
      </c>
      <c r="G7" t="s">
        <v>242</v>
      </c>
      <c r="H7" t="s">
        <v>13</v>
      </c>
      <c r="I7" t="s">
        <v>14</v>
      </c>
      <c r="J7" s="4">
        <f>F7*G7</f>
        <v>2100</v>
      </c>
    </row>
    <row r="8" spans="1:10" x14ac:dyDescent="0.3">
      <c r="A8" t="s">
        <v>15</v>
      </c>
      <c r="B8" s="1">
        <v>44980</v>
      </c>
      <c r="C8" s="1" t="str">
        <f t="shared" si="0"/>
        <v>February</v>
      </c>
      <c r="D8" s="2" t="s">
        <v>231</v>
      </c>
      <c r="E8" s="2" t="s">
        <v>17</v>
      </c>
      <c r="F8" t="s">
        <v>237</v>
      </c>
      <c r="G8" t="s">
        <v>242</v>
      </c>
      <c r="H8" t="s">
        <v>18</v>
      </c>
      <c r="J8" s="4">
        <f t="shared" ref="J8:J71" si="1">F8*G8</f>
        <v>2800</v>
      </c>
    </row>
    <row r="9" spans="1:10" x14ac:dyDescent="0.3">
      <c r="A9" t="s">
        <v>19</v>
      </c>
      <c r="B9" s="1">
        <v>45189</v>
      </c>
      <c r="C9" s="1" t="str">
        <f t="shared" si="0"/>
        <v>September</v>
      </c>
      <c r="D9" s="2" t="s">
        <v>232</v>
      </c>
      <c r="E9" s="2" t="s">
        <v>17</v>
      </c>
      <c r="F9" t="s">
        <v>236</v>
      </c>
      <c r="G9" t="s">
        <v>243</v>
      </c>
      <c r="H9" t="s">
        <v>13</v>
      </c>
      <c r="I9" t="s">
        <v>14</v>
      </c>
      <c r="J9" s="4">
        <f t="shared" si="1"/>
        <v>1500</v>
      </c>
    </row>
    <row r="10" spans="1:10" x14ac:dyDescent="0.3">
      <c r="A10" t="s">
        <v>21</v>
      </c>
      <c r="B10" s="1">
        <v>45119</v>
      </c>
      <c r="C10" s="1" t="str">
        <f t="shared" si="0"/>
        <v>July</v>
      </c>
      <c r="D10" s="2" t="s">
        <v>231</v>
      </c>
      <c r="E10" s="2" t="s">
        <v>22</v>
      </c>
      <c r="F10" t="s">
        <v>238</v>
      </c>
      <c r="G10" t="s">
        <v>244</v>
      </c>
      <c r="H10" t="s">
        <v>245</v>
      </c>
      <c r="J10" s="4">
        <f t="shared" si="1"/>
        <v>5000</v>
      </c>
    </row>
    <row r="11" spans="1:10" x14ac:dyDescent="0.3">
      <c r="A11" t="s">
        <v>25</v>
      </c>
      <c r="B11" s="1">
        <v>45211</v>
      </c>
      <c r="C11" s="1" t="str">
        <f t="shared" si="0"/>
        <v>October</v>
      </c>
      <c r="D11" s="2" t="s">
        <v>230</v>
      </c>
      <c r="E11" s="2" t="s">
        <v>234</v>
      </c>
      <c r="F11" t="s">
        <v>238</v>
      </c>
      <c r="G11" t="s">
        <v>244</v>
      </c>
      <c r="H11" t="s">
        <v>246</v>
      </c>
      <c r="I11" t="s">
        <v>14</v>
      </c>
      <c r="J11" s="4">
        <f t="shared" si="1"/>
        <v>5000</v>
      </c>
    </row>
    <row r="12" spans="1:10" x14ac:dyDescent="0.3">
      <c r="A12" t="s">
        <v>27</v>
      </c>
      <c r="B12" s="1">
        <v>45213</v>
      </c>
      <c r="C12" s="1" t="str">
        <f t="shared" si="0"/>
        <v>October</v>
      </c>
      <c r="D12" s="2" t="s">
        <v>28</v>
      </c>
      <c r="E12" s="2" t="s">
        <v>235</v>
      </c>
      <c r="F12" t="s">
        <v>236</v>
      </c>
      <c r="G12" t="s">
        <v>244</v>
      </c>
      <c r="H12" t="s">
        <v>245</v>
      </c>
      <c r="I12" t="s">
        <v>14</v>
      </c>
      <c r="J12" s="4">
        <f t="shared" si="1"/>
        <v>3000</v>
      </c>
    </row>
    <row r="13" spans="1:10" x14ac:dyDescent="0.3">
      <c r="A13" t="s">
        <v>30</v>
      </c>
      <c r="B13" s="1">
        <v>45113</v>
      </c>
      <c r="C13" s="1" t="str">
        <f t="shared" si="0"/>
        <v>July</v>
      </c>
      <c r="D13" s="2" t="s">
        <v>28</v>
      </c>
      <c r="E13" s="2" t="s">
        <v>235</v>
      </c>
      <c r="F13" t="s">
        <v>237</v>
      </c>
      <c r="G13" t="s">
        <v>242</v>
      </c>
      <c r="H13" t="s">
        <v>245</v>
      </c>
      <c r="J13" s="4">
        <f t="shared" si="1"/>
        <v>2800</v>
      </c>
    </row>
    <row r="14" spans="1:10" x14ac:dyDescent="0.3">
      <c r="A14" t="s">
        <v>31</v>
      </c>
      <c r="B14" s="1">
        <v>45008</v>
      </c>
      <c r="C14" s="1" t="str">
        <f t="shared" si="0"/>
        <v>March</v>
      </c>
      <c r="D14" s="2" t="s">
        <v>28</v>
      </c>
      <c r="E14" s="2" t="s">
        <v>17</v>
      </c>
      <c r="F14" t="s">
        <v>239</v>
      </c>
      <c r="G14" t="s">
        <v>242</v>
      </c>
      <c r="H14" t="s">
        <v>246</v>
      </c>
      <c r="J14" s="4">
        <f t="shared" si="1"/>
        <v>700</v>
      </c>
    </row>
    <row r="15" spans="1:10" x14ac:dyDescent="0.3">
      <c r="A15" t="s">
        <v>32</v>
      </c>
      <c r="B15" s="1">
        <v>45091</v>
      </c>
      <c r="C15" s="1" t="str">
        <f t="shared" si="0"/>
        <v>June</v>
      </c>
      <c r="D15" s="2" t="s">
        <v>28</v>
      </c>
      <c r="E15" s="2" t="s">
        <v>235</v>
      </c>
      <c r="F15" t="s">
        <v>236</v>
      </c>
      <c r="G15" t="s">
        <v>242</v>
      </c>
      <c r="H15" t="s">
        <v>245</v>
      </c>
      <c r="J15" s="4">
        <f t="shared" si="1"/>
        <v>2100</v>
      </c>
    </row>
    <row r="16" spans="1:10" x14ac:dyDescent="0.3">
      <c r="A16" t="s">
        <v>33</v>
      </c>
      <c r="B16" s="1">
        <v>44966</v>
      </c>
      <c r="C16" s="1" t="str">
        <f t="shared" si="0"/>
        <v>February</v>
      </c>
      <c r="D16" s="2" t="s">
        <v>231</v>
      </c>
      <c r="E16" s="2" t="s">
        <v>235</v>
      </c>
      <c r="F16" t="s">
        <v>237</v>
      </c>
      <c r="G16" t="s">
        <v>244</v>
      </c>
      <c r="H16" t="s">
        <v>245</v>
      </c>
      <c r="J16" s="4">
        <f t="shared" si="1"/>
        <v>4000</v>
      </c>
    </row>
    <row r="17" spans="1:10" x14ac:dyDescent="0.3">
      <c r="A17" t="s">
        <v>34</v>
      </c>
      <c r="B17" s="1">
        <v>45128</v>
      </c>
      <c r="C17" s="1" t="str">
        <f t="shared" si="0"/>
        <v>July</v>
      </c>
      <c r="D17" s="2" t="s">
        <v>230</v>
      </c>
      <c r="E17" s="2" t="s">
        <v>17</v>
      </c>
      <c r="F17" t="s">
        <v>239</v>
      </c>
      <c r="G17" t="s">
        <v>244</v>
      </c>
      <c r="H17" t="s">
        <v>13</v>
      </c>
      <c r="I17" t="s">
        <v>14</v>
      </c>
      <c r="J17" s="4">
        <f t="shared" si="1"/>
        <v>1000</v>
      </c>
    </row>
    <row r="18" spans="1:10" x14ac:dyDescent="0.3">
      <c r="A18" t="s">
        <v>35</v>
      </c>
      <c r="B18" s="1">
        <v>44974</v>
      </c>
      <c r="C18" s="1" t="str">
        <f t="shared" si="0"/>
        <v>February</v>
      </c>
      <c r="D18" s="2" t="s">
        <v>28</v>
      </c>
      <c r="E18" s="2" t="s">
        <v>22</v>
      </c>
      <c r="F18" t="s">
        <v>238</v>
      </c>
      <c r="G18" t="s">
        <v>244</v>
      </c>
      <c r="H18" t="s">
        <v>18</v>
      </c>
      <c r="I18" t="s">
        <v>14</v>
      </c>
      <c r="J18" s="4">
        <f t="shared" si="1"/>
        <v>5000</v>
      </c>
    </row>
    <row r="19" spans="1:10" x14ac:dyDescent="0.3">
      <c r="A19" t="s">
        <v>37</v>
      </c>
      <c r="B19" s="1">
        <v>45286</v>
      </c>
      <c r="C19" s="1" t="str">
        <f t="shared" si="0"/>
        <v>December</v>
      </c>
      <c r="D19" s="2" t="s">
        <v>28</v>
      </c>
      <c r="E19" s="2" t="s">
        <v>17</v>
      </c>
      <c r="F19" t="s">
        <v>238</v>
      </c>
      <c r="G19" t="s">
        <v>244</v>
      </c>
      <c r="H19" t="s">
        <v>246</v>
      </c>
      <c r="I19" t="s">
        <v>14</v>
      </c>
      <c r="J19" s="4">
        <f t="shared" si="1"/>
        <v>5000</v>
      </c>
    </row>
    <row r="20" spans="1:10" x14ac:dyDescent="0.3">
      <c r="A20" t="s">
        <v>38</v>
      </c>
      <c r="B20" s="1">
        <v>45249</v>
      </c>
      <c r="C20" s="1" t="str">
        <f t="shared" si="0"/>
        <v>November</v>
      </c>
      <c r="D20" s="2" t="s">
        <v>231</v>
      </c>
      <c r="E20" s="2" t="s">
        <v>234</v>
      </c>
      <c r="F20" t="s">
        <v>236</v>
      </c>
      <c r="G20" t="s">
        <v>244</v>
      </c>
      <c r="H20" t="s">
        <v>245</v>
      </c>
      <c r="I20" t="s">
        <v>14</v>
      </c>
      <c r="J20" s="4">
        <f t="shared" si="1"/>
        <v>3000</v>
      </c>
    </row>
    <row r="21" spans="1:10" x14ac:dyDescent="0.3">
      <c r="A21" t="s">
        <v>39</v>
      </c>
      <c r="B21" s="1">
        <v>45162</v>
      </c>
      <c r="C21" s="1" t="str">
        <f t="shared" si="0"/>
        <v>August</v>
      </c>
      <c r="D21" s="2" t="s">
        <v>230</v>
      </c>
      <c r="E21" s="2" t="s">
        <v>17</v>
      </c>
      <c r="F21" t="s">
        <v>236</v>
      </c>
      <c r="G21" t="s">
        <v>243</v>
      </c>
      <c r="H21" t="s">
        <v>246</v>
      </c>
      <c r="J21" s="4">
        <f t="shared" si="1"/>
        <v>1500</v>
      </c>
    </row>
    <row r="22" spans="1:10" x14ac:dyDescent="0.3">
      <c r="A22" t="s">
        <v>40</v>
      </c>
      <c r="B22" s="1">
        <v>45262</v>
      </c>
      <c r="C22" s="1" t="str">
        <f t="shared" si="0"/>
        <v>December</v>
      </c>
      <c r="D22" s="2" t="s">
        <v>231</v>
      </c>
      <c r="E22" s="2" t="s">
        <v>22</v>
      </c>
      <c r="F22" t="s">
        <v>238</v>
      </c>
      <c r="G22" t="s">
        <v>244</v>
      </c>
      <c r="H22" t="s">
        <v>18</v>
      </c>
      <c r="J22" s="4">
        <f t="shared" si="1"/>
        <v>5000</v>
      </c>
    </row>
    <row r="23" spans="1:10" x14ac:dyDescent="0.3">
      <c r="A23" t="s">
        <v>41</v>
      </c>
      <c r="B23" s="1">
        <v>45038</v>
      </c>
      <c r="C23" s="1" t="str">
        <f t="shared" si="0"/>
        <v>April</v>
      </c>
      <c r="D23" s="2" t="s">
        <v>231</v>
      </c>
      <c r="E23" s="2" t="s">
        <v>17</v>
      </c>
      <c r="F23" t="s">
        <v>240</v>
      </c>
      <c r="G23" t="s">
        <v>244</v>
      </c>
      <c r="H23" t="s">
        <v>18</v>
      </c>
      <c r="J23" s="4">
        <f t="shared" si="1"/>
        <v>2000</v>
      </c>
    </row>
    <row r="24" spans="1:10" x14ac:dyDescent="0.3">
      <c r="A24" t="s">
        <v>42</v>
      </c>
      <c r="B24" s="1">
        <v>45132</v>
      </c>
      <c r="C24" s="1" t="str">
        <f t="shared" si="0"/>
        <v>July</v>
      </c>
      <c r="D24" s="2" t="s">
        <v>232</v>
      </c>
      <c r="E24" s="2" t="s">
        <v>235</v>
      </c>
      <c r="F24" t="s">
        <v>236</v>
      </c>
      <c r="G24" t="s">
        <v>244</v>
      </c>
      <c r="H24" t="s">
        <v>246</v>
      </c>
      <c r="I24" t="s">
        <v>14</v>
      </c>
      <c r="J24" s="4">
        <f t="shared" si="1"/>
        <v>3000</v>
      </c>
    </row>
    <row r="25" spans="1:10" x14ac:dyDescent="0.3">
      <c r="A25" t="s">
        <v>43</v>
      </c>
      <c r="B25" s="1">
        <v>45279</v>
      </c>
      <c r="C25" s="1" t="str">
        <f t="shared" si="0"/>
        <v>December</v>
      </c>
      <c r="D25" s="2" t="s">
        <v>28</v>
      </c>
      <c r="E25" s="2" t="s">
        <v>235</v>
      </c>
      <c r="F25" t="s">
        <v>236</v>
      </c>
      <c r="G25" t="s">
        <v>244</v>
      </c>
      <c r="H25" t="s">
        <v>246</v>
      </c>
      <c r="I25" t="s">
        <v>14</v>
      </c>
      <c r="J25" s="4">
        <f t="shared" si="1"/>
        <v>3000</v>
      </c>
    </row>
    <row r="26" spans="1:10" x14ac:dyDescent="0.3">
      <c r="A26" t="s">
        <v>44</v>
      </c>
      <c r="B26" s="1">
        <v>45175</v>
      </c>
      <c r="C26" s="1" t="str">
        <f t="shared" si="0"/>
        <v>September</v>
      </c>
      <c r="D26" s="2" t="s">
        <v>230</v>
      </c>
      <c r="E26" s="2" t="s">
        <v>22</v>
      </c>
      <c r="F26" t="s">
        <v>236</v>
      </c>
      <c r="G26" t="s">
        <v>244</v>
      </c>
      <c r="H26" t="s">
        <v>246</v>
      </c>
      <c r="I26" t="s">
        <v>14</v>
      </c>
      <c r="J26" s="4">
        <f t="shared" si="1"/>
        <v>3000</v>
      </c>
    </row>
    <row r="27" spans="1:10" x14ac:dyDescent="0.3">
      <c r="A27" t="s">
        <v>45</v>
      </c>
      <c r="B27" s="1">
        <v>45066</v>
      </c>
      <c r="C27" s="1" t="str">
        <f t="shared" si="0"/>
        <v>May</v>
      </c>
      <c r="D27" s="2" t="s">
        <v>28</v>
      </c>
      <c r="E27" s="2" t="s">
        <v>22</v>
      </c>
      <c r="F27" t="s">
        <v>236</v>
      </c>
      <c r="G27" t="s">
        <v>244</v>
      </c>
      <c r="H27" t="s">
        <v>18</v>
      </c>
      <c r="I27" t="s">
        <v>14</v>
      </c>
      <c r="J27" s="4">
        <f t="shared" si="1"/>
        <v>3000</v>
      </c>
    </row>
    <row r="28" spans="1:10" x14ac:dyDescent="0.3">
      <c r="A28" t="s">
        <v>46</v>
      </c>
      <c r="B28" s="1">
        <v>44934</v>
      </c>
      <c r="C28" s="1" t="str">
        <f t="shared" si="0"/>
        <v>January</v>
      </c>
      <c r="D28" s="2" t="s">
        <v>231</v>
      </c>
      <c r="E28" s="2" t="s">
        <v>22</v>
      </c>
      <c r="F28" t="s">
        <v>236</v>
      </c>
      <c r="G28" t="s">
        <v>243</v>
      </c>
      <c r="H28" t="s">
        <v>245</v>
      </c>
      <c r="I28" t="s">
        <v>14</v>
      </c>
      <c r="J28" s="4">
        <f t="shared" si="1"/>
        <v>1500</v>
      </c>
    </row>
    <row r="29" spans="1:10" x14ac:dyDescent="0.3">
      <c r="A29" t="s">
        <v>47</v>
      </c>
      <c r="B29" s="1">
        <v>45153</v>
      </c>
      <c r="C29" s="1" t="str">
        <f t="shared" si="0"/>
        <v>August</v>
      </c>
      <c r="D29" s="2" t="s">
        <v>232</v>
      </c>
      <c r="E29" s="2" t="s">
        <v>17</v>
      </c>
      <c r="F29" t="s">
        <v>237</v>
      </c>
      <c r="G29" t="s">
        <v>243</v>
      </c>
      <c r="H29" t="s">
        <v>18</v>
      </c>
      <c r="J29" s="4">
        <f t="shared" si="1"/>
        <v>2000</v>
      </c>
    </row>
    <row r="30" spans="1:10" x14ac:dyDescent="0.3">
      <c r="A30" t="s">
        <v>48</v>
      </c>
      <c r="B30" s="1">
        <v>45023</v>
      </c>
      <c r="C30" s="1" t="str">
        <f t="shared" si="0"/>
        <v>April</v>
      </c>
      <c r="D30" s="2" t="s">
        <v>230</v>
      </c>
      <c r="E30" s="2" t="s">
        <v>22</v>
      </c>
      <c r="F30" t="s">
        <v>238</v>
      </c>
      <c r="G30" t="s">
        <v>242</v>
      </c>
      <c r="H30" t="s">
        <v>18</v>
      </c>
      <c r="J30" s="4">
        <f t="shared" si="1"/>
        <v>3500</v>
      </c>
    </row>
    <row r="31" spans="1:10" x14ac:dyDescent="0.3">
      <c r="A31" t="s">
        <v>49</v>
      </c>
      <c r="B31" s="1">
        <v>45291</v>
      </c>
      <c r="C31" s="1" t="str">
        <f t="shared" si="0"/>
        <v>December</v>
      </c>
      <c r="D31" s="2" t="s">
        <v>232</v>
      </c>
      <c r="E31" s="2" t="s">
        <v>235</v>
      </c>
      <c r="F31" t="s">
        <v>236</v>
      </c>
      <c r="G31" t="s">
        <v>242</v>
      </c>
      <c r="H31" t="s">
        <v>245</v>
      </c>
      <c r="J31" s="4">
        <f t="shared" si="1"/>
        <v>2100</v>
      </c>
    </row>
    <row r="32" spans="1:10" x14ac:dyDescent="0.3">
      <c r="A32" t="s">
        <v>50</v>
      </c>
      <c r="B32" s="1">
        <v>44949</v>
      </c>
      <c r="C32" s="1" t="str">
        <f t="shared" si="0"/>
        <v>January</v>
      </c>
      <c r="D32" s="2" t="s">
        <v>28</v>
      </c>
      <c r="E32" s="2" t="s">
        <v>234</v>
      </c>
      <c r="F32" t="s">
        <v>237</v>
      </c>
      <c r="G32" t="s">
        <v>244</v>
      </c>
      <c r="H32" t="s">
        <v>245</v>
      </c>
      <c r="I32" t="s">
        <v>14</v>
      </c>
      <c r="J32" s="4">
        <f t="shared" si="1"/>
        <v>4000</v>
      </c>
    </row>
    <row r="33" spans="1:10" x14ac:dyDescent="0.3">
      <c r="A33" t="s">
        <v>51</v>
      </c>
      <c r="B33" s="1">
        <v>45000</v>
      </c>
      <c r="C33" s="1" t="str">
        <f t="shared" si="0"/>
        <v>March</v>
      </c>
      <c r="D33" s="2" t="s">
        <v>231</v>
      </c>
      <c r="E33" s="2" t="s">
        <v>235</v>
      </c>
      <c r="F33" t="s">
        <v>236</v>
      </c>
      <c r="G33" t="s">
        <v>244</v>
      </c>
      <c r="H33" t="s">
        <v>245</v>
      </c>
      <c r="J33" s="4">
        <f t="shared" si="1"/>
        <v>3000</v>
      </c>
    </row>
    <row r="34" spans="1:10" x14ac:dyDescent="0.3">
      <c r="A34" t="s">
        <v>52</v>
      </c>
      <c r="B34" s="1">
        <v>44947</v>
      </c>
      <c r="C34" s="1" t="str">
        <f t="shared" si="0"/>
        <v>January</v>
      </c>
      <c r="D34" s="2" t="s">
        <v>28</v>
      </c>
      <c r="E34" s="2" t="s">
        <v>234</v>
      </c>
      <c r="F34" t="s">
        <v>238</v>
      </c>
      <c r="G34" t="s">
        <v>242</v>
      </c>
      <c r="H34" t="s">
        <v>246</v>
      </c>
      <c r="I34" t="s">
        <v>14</v>
      </c>
      <c r="J34" s="4">
        <f t="shared" si="1"/>
        <v>3500</v>
      </c>
    </row>
    <row r="35" spans="1:10" x14ac:dyDescent="0.3">
      <c r="A35" t="s">
        <v>53</v>
      </c>
      <c r="B35" s="1">
        <v>45010</v>
      </c>
      <c r="C35" s="1" t="str">
        <f t="shared" si="0"/>
        <v>March</v>
      </c>
      <c r="D35" s="2" t="s">
        <v>231</v>
      </c>
      <c r="E35" s="2" t="s">
        <v>235</v>
      </c>
      <c r="F35" t="s">
        <v>239</v>
      </c>
      <c r="G35" t="s">
        <v>242</v>
      </c>
      <c r="H35" t="s">
        <v>18</v>
      </c>
      <c r="I35" t="s">
        <v>14</v>
      </c>
      <c r="J35" s="4">
        <f t="shared" si="1"/>
        <v>700</v>
      </c>
    </row>
    <row r="36" spans="1:10" x14ac:dyDescent="0.3">
      <c r="A36" t="s">
        <v>54</v>
      </c>
      <c r="B36" s="1">
        <v>45237</v>
      </c>
      <c r="C36" s="1" t="str">
        <f t="shared" si="0"/>
        <v>November</v>
      </c>
      <c r="D36" s="2" t="s">
        <v>230</v>
      </c>
      <c r="E36" s="2" t="s">
        <v>235</v>
      </c>
      <c r="F36" t="s">
        <v>238</v>
      </c>
      <c r="G36" t="s">
        <v>242</v>
      </c>
      <c r="H36" t="s">
        <v>18</v>
      </c>
      <c r="I36" t="s">
        <v>14</v>
      </c>
      <c r="J36" s="4">
        <f t="shared" si="1"/>
        <v>3500</v>
      </c>
    </row>
    <row r="37" spans="1:10" x14ac:dyDescent="0.3">
      <c r="A37" t="s">
        <v>55</v>
      </c>
      <c r="B37" s="1">
        <v>45222</v>
      </c>
      <c r="C37" s="1" t="str">
        <f t="shared" si="0"/>
        <v>October</v>
      </c>
      <c r="D37" s="2" t="s">
        <v>28</v>
      </c>
      <c r="E37" s="2" t="s">
        <v>234</v>
      </c>
      <c r="F37" t="s">
        <v>236</v>
      </c>
      <c r="G37" t="s">
        <v>244</v>
      </c>
      <c r="H37" t="s">
        <v>13</v>
      </c>
      <c r="I37" t="s">
        <v>14</v>
      </c>
      <c r="J37" s="4">
        <f t="shared" si="1"/>
        <v>3000</v>
      </c>
    </row>
    <row r="38" spans="1:10" x14ac:dyDescent="0.3">
      <c r="A38" t="s">
        <v>56</v>
      </c>
      <c r="B38" s="1">
        <v>45013</v>
      </c>
      <c r="C38" s="1" t="str">
        <f t="shared" si="0"/>
        <v>March</v>
      </c>
      <c r="D38" s="2" t="s">
        <v>230</v>
      </c>
      <c r="E38" s="2" t="s">
        <v>234</v>
      </c>
      <c r="F38" t="s">
        <v>239</v>
      </c>
      <c r="G38" t="s">
        <v>244</v>
      </c>
      <c r="H38" t="s">
        <v>245</v>
      </c>
      <c r="J38" s="4">
        <f t="shared" si="1"/>
        <v>1000</v>
      </c>
    </row>
    <row r="39" spans="1:10" x14ac:dyDescent="0.3">
      <c r="A39" t="s">
        <v>57</v>
      </c>
      <c r="B39" s="1">
        <v>44933</v>
      </c>
      <c r="C39" s="1" t="str">
        <f t="shared" ref="C39:C70" si="2">TEXT(B39,"MMMM")</f>
        <v>January</v>
      </c>
      <c r="D39" s="2" t="s">
        <v>28</v>
      </c>
      <c r="E39" s="2" t="s">
        <v>235</v>
      </c>
      <c r="F39" t="s">
        <v>238</v>
      </c>
      <c r="G39" t="s">
        <v>243</v>
      </c>
      <c r="H39" t="s">
        <v>13</v>
      </c>
      <c r="I39" t="s">
        <v>14</v>
      </c>
      <c r="J39" s="4">
        <f t="shared" si="1"/>
        <v>2500</v>
      </c>
    </row>
    <row r="40" spans="1:10" x14ac:dyDescent="0.3">
      <c r="A40" t="s">
        <v>58</v>
      </c>
      <c r="B40" s="1">
        <v>45171</v>
      </c>
      <c r="C40" s="1" t="str">
        <f t="shared" si="2"/>
        <v>September</v>
      </c>
      <c r="D40" s="2" t="s">
        <v>232</v>
      </c>
      <c r="E40" s="2" t="s">
        <v>22</v>
      </c>
      <c r="F40" t="s">
        <v>239</v>
      </c>
      <c r="G40" t="s">
        <v>242</v>
      </c>
      <c r="H40" t="s">
        <v>246</v>
      </c>
      <c r="I40" t="s">
        <v>14</v>
      </c>
      <c r="J40" s="4">
        <f t="shared" si="1"/>
        <v>700</v>
      </c>
    </row>
    <row r="41" spans="1:10" x14ac:dyDescent="0.3">
      <c r="A41" t="s">
        <v>59</v>
      </c>
      <c r="B41" s="1">
        <v>45023</v>
      </c>
      <c r="C41" s="1" t="str">
        <f t="shared" si="2"/>
        <v>April</v>
      </c>
      <c r="D41" s="2" t="s">
        <v>230</v>
      </c>
      <c r="E41" s="2" t="s">
        <v>235</v>
      </c>
      <c r="F41" t="s">
        <v>236</v>
      </c>
      <c r="G41" t="s">
        <v>244</v>
      </c>
      <c r="H41" t="s">
        <v>18</v>
      </c>
      <c r="J41" s="4">
        <f t="shared" si="1"/>
        <v>3000</v>
      </c>
    </row>
    <row r="42" spans="1:10" x14ac:dyDescent="0.3">
      <c r="A42" t="s">
        <v>60</v>
      </c>
      <c r="B42" s="1">
        <v>44951</v>
      </c>
      <c r="C42" s="1" t="str">
        <f t="shared" si="2"/>
        <v>January</v>
      </c>
      <c r="D42" s="2" t="s">
        <v>230</v>
      </c>
      <c r="E42" s="2" t="s">
        <v>234</v>
      </c>
      <c r="F42" t="s">
        <v>236</v>
      </c>
      <c r="G42" t="s">
        <v>242</v>
      </c>
      <c r="H42" t="s">
        <v>246</v>
      </c>
      <c r="I42" t="s">
        <v>14</v>
      </c>
      <c r="J42" s="4">
        <f t="shared" si="1"/>
        <v>2100</v>
      </c>
    </row>
    <row r="43" spans="1:10" x14ac:dyDescent="0.3">
      <c r="A43" t="s">
        <v>61</v>
      </c>
      <c r="B43" s="1">
        <v>45292</v>
      </c>
      <c r="C43" s="1" t="str">
        <f t="shared" si="2"/>
        <v>January</v>
      </c>
      <c r="D43" s="2" t="s">
        <v>28</v>
      </c>
      <c r="E43" s="2" t="s">
        <v>234</v>
      </c>
      <c r="F43" t="s">
        <v>239</v>
      </c>
      <c r="G43" t="s">
        <v>244</v>
      </c>
      <c r="H43" t="s">
        <v>246</v>
      </c>
      <c r="I43" t="s">
        <v>14</v>
      </c>
      <c r="J43" s="4">
        <f t="shared" si="1"/>
        <v>1000</v>
      </c>
    </row>
    <row r="44" spans="1:10" x14ac:dyDescent="0.3">
      <c r="A44" t="s">
        <v>62</v>
      </c>
      <c r="B44" s="1">
        <v>45155</v>
      </c>
      <c r="C44" s="1" t="str">
        <f t="shared" si="2"/>
        <v>August</v>
      </c>
      <c r="D44" s="2" t="s">
        <v>28</v>
      </c>
      <c r="E44" s="2" t="s">
        <v>22</v>
      </c>
      <c r="F44" t="s">
        <v>236</v>
      </c>
      <c r="G44" t="s">
        <v>242</v>
      </c>
      <c r="H44" t="s">
        <v>245</v>
      </c>
      <c r="I44" t="s">
        <v>14</v>
      </c>
      <c r="J44" s="4">
        <f t="shared" si="1"/>
        <v>2100</v>
      </c>
    </row>
    <row r="45" spans="1:10" x14ac:dyDescent="0.3">
      <c r="A45" t="s">
        <v>63</v>
      </c>
      <c r="B45" s="1">
        <v>44998</v>
      </c>
      <c r="C45" s="1" t="str">
        <f t="shared" si="2"/>
        <v>March</v>
      </c>
      <c r="D45" s="2" t="s">
        <v>28</v>
      </c>
      <c r="E45" s="2" t="s">
        <v>235</v>
      </c>
      <c r="F45" t="s">
        <v>240</v>
      </c>
      <c r="G45" t="s">
        <v>242</v>
      </c>
      <c r="H45" t="s">
        <v>13</v>
      </c>
      <c r="I45" t="s">
        <v>14</v>
      </c>
      <c r="J45" s="4">
        <f t="shared" si="1"/>
        <v>1400</v>
      </c>
    </row>
    <row r="46" spans="1:10" x14ac:dyDescent="0.3">
      <c r="A46" t="s">
        <v>64</v>
      </c>
      <c r="B46" s="1">
        <v>45091</v>
      </c>
      <c r="C46" s="1" t="str">
        <f t="shared" si="2"/>
        <v>June</v>
      </c>
      <c r="D46" s="2" t="s">
        <v>230</v>
      </c>
      <c r="E46" s="2" t="s">
        <v>17</v>
      </c>
      <c r="F46" t="s">
        <v>239</v>
      </c>
      <c r="G46" t="s">
        <v>242</v>
      </c>
      <c r="H46" t="s">
        <v>13</v>
      </c>
      <c r="J46" s="4">
        <f t="shared" si="1"/>
        <v>700</v>
      </c>
    </row>
    <row r="47" spans="1:10" x14ac:dyDescent="0.3">
      <c r="A47" t="s">
        <v>65</v>
      </c>
      <c r="B47" s="1">
        <v>45104</v>
      </c>
      <c r="C47" s="1" t="str">
        <f t="shared" si="2"/>
        <v>June</v>
      </c>
      <c r="D47" s="2" t="s">
        <v>28</v>
      </c>
      <c r="E47" s="2" t="s">
        <v>235</v>
      </c>
      <c r="F47" t="s">
        <v>238</v>
      </c>
      <c r="G47" t="s">
        <v>243</v>
      </c>
      <c r="H47" t="s">
        <v>18</v>
      </c>
      <c r="I47" t="s">
        <v>14</v>
      </c>
      <c r="J47" s="4">
        <f t="shared" si="1"/>
        <v>2500</v>
      </c>
    </row>
    <row r="48" spans="1:10" x14ac:dyDescent="0.3">
      <c r="A48" t="s">
        <v>66</v>
      </c>
      <c r="B48" s="1">
        <v>45239</v>
      </c>
      <c r="C48" s="1" t="str">
        <f t="shared" si="2"/>
        <v>November</v>
      </c>
      <c r="D48" s="2" t="s">
        <v>232</v>
      </c>
      <c r="E48" s="2" t="s">
        <v>17</v>
      </c>
      <c r="F48" t="s">
        <v>237</v>
      </c>
      <c r="G48" t="s">
        <v>243</v>
      </c>
      <c r="H48" t="s">
        <v>246</v>
      </c>
      <c r="J48" s="4">
        <f t="shared" si="1"/>
        <v>2000</v>
      </c>
    </row>
    <row r="49" spans="1:10" x14ac:dyDescent="0.3">
      <c r="A49" t="s">
        <v>67</v>
      </c>
      <c r="B49" s="1">
        <v>45132</v>
      </c>
      <c r="C49" s="1" t="str">
        <f t="shared" si="2"/>
        <v>July</v>
      </c>
      <c r="D49" s="2" t="s">
        <v>28</v>
      </c>
      <c r="E49" s="2" t="s">
        <v>235</v>
      </c>
      <c r="F49" t="s">
        <v>237</v>
      </c>
      <c r="G49" t="s">
        <v>244</v>
      </c>
      <c r="H49" t="s">
        <v>245</v>
      </c>
      <c r="I49" t="s">
        <v>14</v>
      </c>
      <c r="J49" s="4">
        <f t="shared" si="1"/>
        <v>4000</v>
      </c>
    </row>
    <row r="50" spans="1:10" x14ac:dyDescent="0.3">
      <c r="A50" t="s">
        <v>68</v>
      </c>
      <c r="B50" s="1">
        <v>45238</v>
      </c>
      <c r="C50" s="1" t="str">
        <f t="shared" si="2"/>
        <v>November</v>
      </c>
      <c r="D50" s="2" t="s">
        <v>230</v>
      </c>
      <c r="E50" s="2" t="s">
        <v>22</v>
      </c>
      <c r="F50" t="s">
        <v>237</v>
      </c>
      <c r="G50" t="s">
        <v>244</v>
      </c>
      <c r="H50" t="s">
        <v>13</v>
      </c>
      <c r="J50" s="4">
        <f t="shared" si="1"/>
        <v>4000</v>
      </c>
    </row>
    <row r="51" spans="1:10" x14ac:dyDescent="0.3">
      <c r="A51" t="s">
        <v>69</v>
      </c>
      <c r="B51" s="1">
        <v>45232</v>
      </c>
      <c r="C51" s="1" t="str">
        <f t="shared" si="2"/>
        <v>November</v>
      </c>
      <c r="D51" s="2" t="s">
        <v>232</v>
      </c>
      <c r="E51" s="2" t="s">
        <v>22</v>
      </c>
      <c r="F51" t="s">
        <v>238</v>
      </c>
      <c r="G51" t="s">
        <v>243</v>
      </c>
      <c r="H51" t="s">
        <v>245</v>
      </c>
      <c r="J51" s="4">
        <f t="shared" si="1"/>
        <v>2500</v>
      </c>
    </row>
    <row r="52" spans="1:10" x14ac:dyDescent="0.3">
      <c r="A52" t="s">
        <v>70</v>
      </c>
      <c r="B52" s="1">
        <v>45050</v>
      </c>
      <c r="C52" s="1" t="str">
        <f t="shared" si="2"/>
        <v>May</v>
      </c>
      <c r="D52" s="2" t="s">
        <v>232</v>
      </c>
      <c r="E52" s="2" t="s">
        <v>22</v>
      </c>
      <c r="F52" t="s">
        <v>238</v>
      </c>
      <c r="G52" t="s">
        <v>242</v>
      </c>
      <c r="H52" t="s">
        <v>13</v>
      </c>
      <c r="I52" t="s">
        <v>14</v>
      </c>
      <c r="J52" s="4">
        <f t="shared" si="1"/>
        <v>3500</v>
      </c>
    </row>
    <row r="53" spans="1:10" x14ac:dyDescent="0.3">
      <c r="A53" t="s">
        <v>71</v>
      </c>
      <c r="B53" s="1">
        <v>45140</v>
      </c>
      <c r="C53" s="1" t="str">
        <f t="shared" si="2"/>
        <v>August</v>
      </c>
      <c r="D53" s="2" t="s">
        <v>28</v>
      </c>
      <c r="E53" s="2" t="s">
        <v>234</v>
      </c>
      <c r="F53" t="s">
        <v>238</v>
      </c>
      <c r="G53" t="s">
        <v>244</v>
      </c>
      <c r="H53" t="s">
        <v>18</v>
      </c>
      <c r="I53" t="s">
        <v>14</v>
      </c>
      <c r="J53" s="4">
        <f t="shared" si="1"/>
        <v>5000</v>
      </c>
    </row>
    <row r="54" spans="1:10" x14ac:dyDescent="0.3">
      <c r="A54" t="s">
        <v>72</v>
      </c>
      <c r="B54" s="1">
        <v>45266</v>
      </c>
      <c r="C54" s="1" t="str">
        <f t="shared" si="2"/>
        <v>December</v>
      </c>
      <c r="D54" s="2" t="s">
        <v>230</v>
      </c>
      <c r="E54" s="2" t="s">
        <v>22</v>
      </c>
      <c r="F54" t="s">
        <v>236</v>
      </c>
      <c r="G54" t="s">
        <v>244</v>
      </c>
      <c r="H54" t="s">
        <v>13</v>
      </c>
      <c r="I54" t="s">
        <v>14</v>
      </c>
      <c r="J54" s="4">
        <f t="shared" si="1"/>
        <v>3000</v>
      </c>
    </row>
    <row r="55" spans="1:10" x14ac:dyDescent="0.3">
      <c r="A55" t="s">
        <v>73</v>
      </c>
      <c r="B55" s="1">
        <v>45175</v>
      </c>
      <c r="C55" s="1" t="str">
        <f t="shared" si="2"/>
        <v>September</v>
      </c>
      <c r="D55" s="2" t="s">
        <v>231</v>
      </c>
      <c r="E55" s="2" t="s">
        <v>234</v>
      </c>
      <c r="F55" t="s">
        <v>237</v>
      </c>
      <c r="G55" t="s">
        <v>244</v>
      </c>
      <c r="H55" t="s">
        <v>245</v>
      </c>
      <c r="I55" t="s">
        <v>14</v>
      </c>
      <c r="J55" s="4">
        <f t="shared" si="1"/>
        <v>4000</v>
      </c>
    </row>
    <row r="56" spans="1:10" x14ac:dyDescent="0.3">
      <c r="A56" t="s">
        <v>74</v>
      </c>
      <c r="B56" s="1">
        <v>44988</v>
      </c>
      <c r="C56" s="1" t="str">
        <f t="shared" si="2"/>
        <v>March</v>
      </c>
      <c r="D56" s="2" t="s">
        <v>231</v>
      </c>
      <c r="E56" s="2" t="s">
        <v>22</v>
      </c>
      <c r="F56" t="s">
        <v>238</v>
      </c>
      <c r="G56" t="s">
        <v>244</v>
      </c>
      <c r="H56" t="s">
        <v>18</v>
      </c>
      <c r="I56" t="s">
        <v>14</v>
      </c>
      <c r="J56" s="4">
        <f t="shared" si="1"/>
        <v>5000</v>
      </c>
    </row>
    <row r="57" spans="1:10" x14ac:dyDescent="0.3">
      <c r="A57" t="s">
        <v>75</v>
      </c>
      <c r="B57" s="1">
        <v>45031</v>
      </c>
      <c r="C57" s="1" t="str">
        <f t="shared" si="2"/>
        <v>April</v>
      </c>
      <c r="D57" s="2" t="s">
        <v>231</v>
      </c>
      <c r="E57" s="2" t="s">
        <v>17</v>
      </c>
      <c r="F57" t="s">
        <v>238</v>
      </c>
      <c r="G57" t="s">
        <v>244</v>
      </c>
      <c r="H57" t="s">
        <v>246</v>
      </c>
      <c r="J57" s="4">
        <f t="shared" si="1"/>
        <v>5000</v>
      </c>
    </row>
    <row r="58" spans="1:10" x14ac:dyDescent="0.3">
      <c r="A58" t="s">
        <v>76</v>
      </c>
      <c r="B58" s="1">
        <v>45193</v>
      </c>
      <c r="C58" s="1" t="str">
        <f t="shared" si="2"/>
        <v>September</v>
      </c>
      <c r="D58" s="2" t="s">
        <v>28</v>
      </c>
      <c r="E58" s="2" t="s">
        <v>234</v>
      </c>
      <c r="F58" t="s">
        <v>236</v>
      </c>
      <c r="G58" t="s">
        <v>242</v>
      </c>
      <c r="H58" t="s">
        <v>246</v>
      </c>
      <c r="I58" t="s">
        <v>14</v>
      </c>
      <c r="J58" s="4">
        <f t="shared" si="1"/>
        <v>2100</v>
      </c>
    </row>
    <row r="59" spans="1:10" x14ac:dyDescent="0.3">
      <c r="A59" t="s">
        <v>77</v>
      </c>
      <c r="B59" s="1">
        <v>44966</v>
      </c>
      <c r="C59" s="1" t="str">
        <f t="shared" si="2"/>
        <v>February</v>
      </c>
      <c r="D59" s="2" t="s">
        <v>231</v>
      </c>
      <c r="E59" s="2" t="s">
        <v>22</v>
      </c>
      <c r="F59" t="s">
        <v>237</v>
      </c>
      <c r="G59" t="s">
        <v>242</v>
      </c>
      <c r="H59" t="s">
        <v>13</v>
      </c>
      <c r="I59" t="s">
        <v>14</v>
      </c>
      <c r="J59" s="4">
        <f t="shared" si="1"/>
        <v>2800</v>
      </c>
    </row>
    <row r="60" spans="1:10" x14ac:dyDescent="0.3">
      <c r="A60" t="s">
        <v>78</v>
      </c>
      <c r="B60" s="1">
        <v>44952</v>
      </c>
      <c r="C60" s="1" t="str">
        <f t="shared" si="2"/>
        <v>January</v>
      </c>
      <c r="D60" s="2" t="s">
        <v>232</v>
      </c>
      <c r="E60" s="2" t="s">
        <v>22</v>
      </c>
      <c r="F60" t="s">
        <v>236</v>
      </c>
      <c r="G60" t="s">
        <v>243</v>
      </c>
      <c r="H60" t="s">
        <v>246</v>
      </c>
      <c r="J60" s="4">
        <f t="shared" si="1"/>
        <v>1500</v>
      </c>
    </row>
    <row r="61" spans="1:10" x14ac:dyDescent="0.3">
      <c r="A61" t="s">
        <v>79</v>
      </c>
      <c r="B61" s="1">
        <v>45211</v>
      </c>
      <c r="C61" s="1" t="str">
        <f t="shared" si="2"/>
        <v>October</v>
      </c>
      <c r="D61" s="2" t="s">
        <v>230</v>
      </c>
      <c r="E61" s="2" t="s">
        <v>17</v>
      </c>
      <c r="F61" t="s">
        <v>240</v>
      </c>
      <c r="G61" t="s">
        <v>243</v>
      </c>
      <c r="H61" t="s">
        <v>246</v>
      </c>
      <c r="I61" t="s">
        <v>14</v>
      </c>
      <c r="J61" s="4">
        <f t="shared" si="1"/>
        <v>1000</v>
      </c>
    </row>
    <row r="62" spans="1:10" x14ac:dyDescent="0.3">
      <c r="A62" t="s">
        <v>80</v>
      </c>
      <c r="B62" s="1">
        <v>45085</v>
      </c>
      <c r="C62" s="1" t="str">
        <f t="shared" si="2"/>
        <v>June</v>
      </c>
      <c r="D62" s="2" t="s">
        <v>28</v>
      </c>
      <c r="E62" s="2" t="s">
        <v>17</v>
      </c>
      <c r="F62" t="s">
        <v>236</v>
      </c>
      <c r="G62" t="s">
        <v>242</v>
      </c>
      <c r="H62" t="s">
        <v>246</v>
      </c>
      <c r="J62" s="4">
        <f t="shared" si="1"/>
        <v>2100</v>
      </c>
    </row>
    <row r="63" spans="1:10" x14ac:dyDescent="0.3">
      <c r="A63" t="s">
        <v>81</v>
      </c>
      <c r="B63" s="1">
        <v>45173</v>
      </c>
      <c r="C63" s="1" t="str">
        <f t="shared" si="2"/>
        <v>September</v>
      </c>
      <c r="D63" s="2" t="s">
        <v>232</v>
      </c>
      <c r="E63" s="2" t="s">
        <v>22</v>
      </c>
      <c r="F63" t="s">
        <v>238</v>
      </c>
      <c r="G63" t="s">
        <v>244</v>
      </c>
      <c r="H63" t="s">
        <v>246</v>
      </c>
      <c r="I63" t="s">
        <v>14</v>
      </c>
      <c r="J63" s="4">
        <f t="shared" si="1"/>
        <v>5000</v>
      </c>
    </row>
    <row r="64" spans="1:10" x14ac:dyDescent="0.3">
      <c r="A64" t="s">
        <v>82</v>
      </c>
      <c r="B64" s="1">
        <v>45175</v>
      </c>
      <c r="C64" s="1" t="str">
        <f t="shared" si="2"/>
        <v>September</v>
      </c>
      <c r="D64" s="2" t="s">
        <v>28</v>
      </c>
      <c r="E64" s="2" t="s">
        <v>235</v>
      </c>
      <c r="F64" t="s">
        <v>236</v>
      </c>
      <c r="G64" t="s">
        <v>242</v>
      </c>
      <c r="H64" t="s">
        <v>13</v>
      </c>
      <c r="J64" s="4">
        <f t="shared" si="1"/>
        <v>2100</v>
      </c>
    </row>
    <row r="65" spans="1:10" x14ac:dyDescent="0.3">
      <c r="A65" t="s">
        <v>83</v>
      </c>
      <c r="B65" s="1">
        <v>45036</v>
      </c>
      <c r="C65" s="1" t="str">
        <f t="shared" si="2"/>
        <v>April</v>
      </c>
      <c r="D65" s="2" t="s">
        <v>231</v>
      </c>
      <c r="E65" s="2" t="s">
        <v>17</v>
      </c>
      <c r="F65" t="s">
        <v>236</v>
      </c>
      <c r="G65" t="s">
        <v>242</v>
      </c>
      <c r="H65" t="s">
        <v>246</v>
      </c>
      <c r="I65" t="s">
        <v>14</v>
      </c>
      <c r="J65" s="4">
        <f t="shared" si="1"/>
        <v>2100</v>
      </c>
    </row>
    <row r="66" spans="1:10" x14ac:dyDescent="0.3">
      <c r="A66" t="s">
        <v>84</v>
      </c>
      <c r="B66" s="1">
        <v>45223</v>
      </c>
      <c r="C66" s="1" t="str">
        <f t="shared" si="2"/>
        <v>October</v>
      </c>
      <c r="D66" s="2" t="s">
        <v>231</v>
      </c>
      <c r="E66" s="2" t="s">
        <v>235</v>
      </c>
      <c r="F66" t="s">
        <v>239</v>
      </c>
      <c r="G66" t="s">
        <v>242</v>
      </c>
      <c r="H66" t="s">
        <v>246</v>
      </c>
      <c r="I66" t="s">
        <v>14</v>
      </c>
      <c r="J66" s="4">
        <f t="shared" si="1"/>
        <v>700</v>
      </c>
    </row>
    <row r="67" spans="1:10" x14ac:dyDescent="0.3">
      <c r="A67" t="s">
        <v>85</v>
      </c>
      <c r="B67" s="1">
        <v>44955</v>
      </c>
      <c r="C67" s="1" t="str">
        <f t="shared" si="2"/>
        <v>January</v>
      </c>
      <c r="D67" s="2" t="s">
        <v>232</v>
      </c>
      <c r="E67" s="2" t="s">
        <v>17</v>
      </c>
      <c r="F67" t="s">
        <v>238</v>
      </c>
      <c r="G67" t="s">
        <v>244</v>
      </c>
      <c r="H67" t="s">
        <v>246</v>
      </c>
      <c r="I67" t="s">
        <v>14</v>
      </c>
      <c r="J67" s="4">
        <f t="shared" si="1"/>
        <v>5000</v>
      </c>
    </row>
    <row r="68" spans="1:10" x14ac:dyDescent="0.3">
      <c r="A68" t="s">
        <v>86</v>
      </c>
      <c r="B68" s="1">
        <v>45197</v>
      </c>
      <c r="C68" s="1" t="str">
        <f t="shared" si="2"/>
        <v>September</v>
      </c>
      <c r="D68" s="2" t="s">
        <v>230</v>
      </c>
      <c r="E68" s="2" t="s">
        <v>22</v>
      </c>
      <c r="F68" t="s">
        <v>236</v>
      </c>
      <c r="G68" t="s">
        <v>244</v>
      </c>
      <c r="H68" t="s">
        <v>246</v>
      </c>
      <c r="J68" s="4">
        <f t="shared" si="1"/>
        <v>3000</v>
      </c>
    </row>
    <row r="69" spans="1:10" x14ac:dyDescent="0.3">
      <c r="A69" t="s">
        <v>87</v>
      </c>
      <c r="B69" s="1">
        <v>45152</v>
      </c>
      <c r="C69" s="1" t="str">
        <f t="shared" si="2"/>
        <v>August</v>
      </c>
      <c r="D69" s="2" t="s">
        <v>230</v>
      </c>
      <c r="E69" s="2" t="s">
        <v>234</v>
      </c>
      <c r="F69" t="s">
        <v>239</v>
      </c>
      <c r="G69" t="s">
        <v>244</v>
      </c>
      <c r="H69" t="s">
        <v>18</v>
      </c>
      <c r="I69" t="s">
        <v>14</v>
      </c>
      <c r="J69" s="4">
        <f t="shared" si="1"/>
        <v>1000</v>
      </c>
    </row>
    <row r="70" spans="1:10" x14ac:dyDescent="0.3">
      <c r="A70" t="s">
        <v>88</v>
      </c>
      <c r="B70" s="1">
        <v>44939</v>
      </c>
      <c r="C70" s="1" t="str">
        <f t="shared" si="2"/>
        <v>January</v>
      </c>
      <c r="D70" s="2" t="s">
        <v>231</v>
      </c>
      <c r="E70" s="2" t="s">
        <v>17</v>
      </c>
      <c r="F70" t="s">
        <v>237</v>
      </c>
      <c r="G70" t="s">
        <v>242</v>
      </c>
      <c r="H70" t="s">
        <v>246</v>
      </c>
      <c r="I70" t="s">
        <v>14</v>
      </c>
      <c r="J70" s="4">
        <f t="shared" si="1"/>
        <v>2800</v>
      </c>
    </row>
    <row r="71" spans="1:10" x14ac:dyDescent="0.3">
      <c r="A71" t="s">
        <v>89</v>
      </c>
      <c r="B71" s="1">
        <v>45185</v>
      </c>
      <c r="C71" s="1" t="str">
        <f t="shared" ref="C71:C102" si="3">TEXT(B71,"MMMM")</f>
        <v>September</v>
      </c>
      <c r="D71" s="2" t="s">
        <v>231</v>
      </c>
      <c r="E71" s="2" t="s">
        <v>22</v>
      </c>
      <c r="F71" t="s">
        <v>238</v>
      </c>
      <c r="G71" t="s">
        <v>244</v>
      </c>
      <c r="H71" t="s">
        <v>245</v>
      </c>
      <c r="I71" t="s">
        <v>14</v>
      </c>
      <c r="J71" s="4">
        <f t="shared" si="1"/>
        <v>5000</v>
      </c>
    </row>
    <row r="72" spans="1:10" x14ac:dyDescent="0.3">
      <c r="A72" t="s">
        <v>90</v>
      </c>
      <c r="B72" s="1">
        <v>45050</v>
      </c>
      <c r="C72" s="1" t="str">
        <f t="shared" si="3"/>
        <v>May</v>
      </c>
      <c r="D72" s="2" t="s">
        <v>231</v>
      </c>
      <c r="E72" s="2" t="s">
        <v>22</v>
      </c>
      <c r="F72" t="s">
        <v>236</v>
      </c>
      <c r="G72" t="s">
        <v>244</v>
      </c>
      <c r="H72" t="s">
        <v>18</v>
      </c>
      <c r="I72" t="s">
        <v>14</v>
      </c>
      <c r="J72" s="4">
        <f t="shared" ref="J72:J135" si="4">F72*G72</f>
        <v>3000</v>
      </c>
    </row>
    <row r="73" spans="1:10" x14ac:dyDescent="0.3">
      <c r="A73" t="s">
        <v>91</v>
      </c>
      <c r="B73" s="1">
        <v>45114</v>
      </c>
      <c r="C73" s="1" t="str">
        <f t="shared" si="3"/>
        <v>July</v>
      </c>
      <c r="D73" s="2" t="s">
        <v>232</v>
      </c>
      <c r="E73" s="2" t="s">
        <v>235</v>
      </c>
      <c r="F73" t="s">
        <v>236</v>
      </c>
      <c r="G73" t="s">
        <v>242</v>
      </c>
      <c r="H73" t="s">
        <v>245</v>
      </c>
      <c r="I73" t="s">
        <v>14</v>
      </c>
      <c r="J73" s="4">
        <f t="shared" si="4"/>
        <v>2100</v>
      </c>
    </row>
    <row r="74" spans="1:10" x14ac:dyDescent="0.3">
      <c r="A74" t="s">
        <v>92</v>
      </c>
      <c r="B74" s="1">
        <v>45189</v>
      </c>
      <c r="C74" s="1" t="str">
        <f t="shared" si="3"/>
        <v>September</v>
      </c>
      <c r="D74" s="2" t="s">
        <v>232</v>
      </c>
      <c r="E74" s="2" t="s">
        <v>234</v>
      </c>
      <c r="F74" t="s">
        <v>236</v>
      </c>
      <c r="G74" t="s">
        <v>242</v>
      </c>
      <c r="H74" t="s">
        <v>18</v>
      </c>
      <c r="I74" t="s">
        <v>14</v>
      </c>
      <c r="J74" s="4">
        <f t="shared" si="4"/>
        <v>2100</v>
      </c>
    </row>
    <row r="75" spans="1:10" x14ac:dyDescent="0.3">
      <c r="A75" t="s">
        <v>93</v>
      </c>
      <c r="B75" s="1">
        <v>45093</v>
      </c>
      <c r="C75" s="1" t="str">
        <f t="shared" si="3"/>
        <v>June</v>
      </c>
      <c r="D75" s="2" t="s">
        <v>232</v>
      </c>
      <c r="E75" s="2" t="s">
        <v>17</v>
      </c>
      <c r="F75" t="s">
        <v>238</v>
      </c>
      <c r="G75" t="s">
        <v>242</v>
      </c>
      <c r="H75" t="s">
        <v>18</v>
      </c>
      <c r="I75" t="s">
        <v>14</v>
      </c>
      <c r="J75" s="4">
        <f t="shared" si="4"/>
        <v>3500</v>
      </c>
    </row>
    <row r="76" spans="1:10" x14ac:dyDescent="0.3">
      <c r="A76" t="s">
        <v>94</v>
      </c>
      <c r="B76" s="1">
        <v>45085</v>
      </c>
      <c r="C76" s="1" t="str">
        <f t="shared" si="3"/>
        <v>June</v>
      </c>
      <c r="D76" s="2" t="s">
        <v>230</v>
      </c>
      <c r="E76" s="2" t="s">
        <v>17</v>
      </c>
      <c r="F76" t="s">
        <v>237</v>
      </c>
      <c r="G76" t="s">
        <v>243</v>
      </c>
      <c r="H76" t="s">
        <v>245</v>
      </c>
      <c r="I76" t="s">
        <v>14</v>
      </c>
      <c r="J76" s="4">
        <f t="shared" si="4"/>
        <v>2000</v>
      </c>
    </row>
    <row r="77" spans="1:10" x14ac:dyDescent="0.3">
      <c r="A77" t="s">
        <v>95</v>
      </c>
      <c r="B77" s="1">
        <v>45045</v>
      </c>
      <c r="C77" s="1" t="str">
        <f t="shared" si="3"/>
        <v>April</v>
      </c>
      <c r="D77" s="2" t="s">
        <v>231</v>
      </c>
      <c r="E77" s="2" t="s">
        <v>235</v>
      </c>
      <c r="F77" t="s">
        <v>239</v>
      </c>
      <c r="G77" t="s">
        <v>244</v>
      </c>
      <c r="H77" t="s">
        <v>246</v>
      </c>
      <c r="I77" t="s">
        <v>14</v>
      </c>
      <c r="J77" s="4">
        <f t="shared" si="4"/>
        <v>1000</v>
      </c>
    </row>
    <row r="78" spans="1:10" x14ac:dyDescent="0.3">
      <c r="A78" t="s">
        <v>96</v>
      </c>
      <c r="B78" s="1">
        <v>45188</v>
      </c>
      <c r="C78" s="1" t="str">
        <f t="shared" si="3"/>
        <v>September</v>
      </c>
      <c r="D78" s="2" t="s">
        <v>230</v>
      </c>
      <c r="E78" s="2" t="s">
        <v>17</v>
      </c>
      <c r="F78" t="s">
        <v>236</v>
      </c>
      <c r="G78" t="s">
        <v>242</v>
      </c>
      <c r="H78" t="s">
        <v>246</v>
      </c>
      <c r="I78" t="s">
        <v>14</v>
      </c>
      <c r="J78" s="4">
        <f t="shared" si="4"/>
        <v>2100</v>
      </c>
    </row>
    <row r="79" spans="1:10" x14ac:dyDescent="0.3">
      <c r="A79" t="s">
        <v>97</v>
      </c>
      <c r="B79" s="1">
        <v>44961</v>
      </c>
      <c r="C79" s="1" t="str">
        <f t="shared" si="3"/>
        <v>February</v>
      </c>
      <c r="D79" s="2" t="s">
        <v>231</v>
      </c>
      <c r="E79" s="2" t="s">
        <v>234</v>
      </c>
      <c r="F79" t="s">
        <v>239</v>
      </c>
      <c r="G79" t="s">
        <v>242</v>
      </c>
      <c r="H79" t="s">
        <v>245</v>
      </c>
      <c r="I79" t="s">
        <v>14</v>
      </c>
      <c r="J79" s="4">
        <f t="shared" si="4"/>
        <v>700</v>
      </c>
    </row>
    <row r="80" spans="1:10" x14ac:dyDescent="0.3">
      <c r="A80" t="s">
        <v>98</v>
      </c>
      <c r="B80" s="1">
        <v>45181</v>
      </c>
      <c r="C80" s="1" t="str">
        <f t="shared" si="3"/>
        <v>September</v>
      </c>
      <c r="D80" s="2" t="s">
        <v>232</v>
      </c>
      <c r="E80" s="2" t="s">
        <v>22</v>
      </c>
      <c r="F80" t="s">
        <v>236</v>
      </c>
      <c r="G80" t="s">
        <v>242</v>
      </c>
      <c r="H80" t="s">
        <v>13</v>
      </c>
      <c r="J80" s="4">
        <f t="shared" si="4"/>
        <v>2100</v>
      </c>
    </row>
    <row r="81" spans="1:10" x14ac:dyDescent="0.3">
      <c r="A81" t="s">
        <v>99</v>
      </c>
      <c r="B81" s="1">
        <v>45055</v>
      </c>
      <c r="C81" s="1" t="str">
        <f t="shared" si="3"/>
        <v>May</v>
      </c>
      <c r="D81" s="2" t="s">
        <v>232</v>
      </c>
      <c r="E81" s="2" t="s">
        <v>22</v>
      </c>
      <c r="F81" t="s">
        <v>236</v>
      </c>
      <c r="G81" t="s">
        <v>242</v>
      </c>
      <c r="H81" t="s">
        <v>13</v>
      </c>
      <c r="I81" t="s">
        <v>14</v>
      </c>
      <c r="J81" s="4">
        <f t="shared" si="4"/>
        <v>2100</v>
      </c>
    </row>
    <row r="82" spans="1:10" x14ac:dyDescent="0.3">
      <c r="A82" t="s">
        <v>100</v>
      </c>
      <c r="B82" s="1">
        <v>45236</v>
      </c>
      <c r="C82" s="1" t="str">
        <f t="shared" si="3"/>
        <v>November</v>
      </c>
      <c r="D82" s="2" t="s">
        <v>232</v>
      </c>
      <c r="E82" s="2" t="s">
        <v>234</v>
      </c>
      <c r="F82" t="s">
        <v>238</v>
      </c>
      <c r="G82" t="s">
        <v>244</v>
      </c>
      <c r="H82" t="s">
        <v>246</v>
      </c>
      <c r="I82" t="s">
        <v>14</v>
      </c>
      <c r="J82" s="4">
        <f t="shared" si="4"/>
        <v>5000</v>
      </c>
    </row>
    <row r="83" spans="1:10" x14ac:dyDescent="0.3">
      <c r="A83" t="s">
        <v>101</v>
      </c>
      <c r="B83" s="1">
        <v>45012</v>
      </c>
      <c r="C83" s="1" t="str">
        <f t="shared" si="3"/>
        <v>March</v>
      </c>
      <c r="D83" s="2" t="s">
        <v>230</v>
      </c>
      <c r="E83" s="2" t="s">
        <v>235</v>
      </c>
      <c r="F83" t="s">
        <v>237</v>
      </c>
      <c r="G83" t="s">
        <v>244</v>
      </c>
      <c r="H83" t="s">
        <v>245</v>
      </c>
      <c r="J83" s="4">
        <f t="shared" si="4"/>
        <v>4000</v>
      </c>
    </row>
    <row r="84" spans="1:10" x14ac:dyDescent="0.3">
      <c r="A84" t="s">
        <v>102</v>
      </c>
      <c r="B84" s="1">
        <v>44993</v>
      </c>
      <c r="C84" s="1" t="str">
        <f t="shared" si="3"/>
        <v>March</v>
      </c>
      <c r="D84" s="2" t="s">
        <v>28</v>
      </c>
      <c r="E84" s="2" t="s">
        <v>235</v>
      </c>
      <c r="F84" t="s">
        <v>237</v>
      </c>
      <c r="G84" t="s">
        <v>244</v>
      </c>
      <c r="H84" t="s">
        <v>245</v>
      </c>
      <c r="I84" t="s">
        <v>14</v>
      </c>
      <c r="J84" s="4">
        <f t="shared" si="4"/>
        <v>4000</v>
      </c>
    </row>
    <row r="85" spans="1:10" x14ac:dyDescent="0.3">
      <c r="A85" t="s">
        <v>103</v>
      </c>
      <c r="B85" s="1">
        <v>45038</v>
      </c>
      <c r="C85" s="1" t="str">
        <f t="shared" si="3"/>
        <v>April</v>
      </c>
      <c r="D85" s="2" t="s">
        <v>230</v>
      </c>
      <c r="E85" s="2" t="s">
        <v>17</v>
      </c>
      <c r="F85" t="s">
        <v>238</v>
      </c>
      <c r="G85" t="s">
        <v>244</v>
      </c>
      <c r="H85" t="s">
        <v>245</v>
      </c>
      <c r="I85" t="s">
        <v>14</v>
      </c>
      <c r="J85" s="4">
        <f t="shared" si="4"/>
        <v>5000</v>
      </c>
    </row>
    <row r="86" spans="1:10" x14ac:dyDescent="0.3">
      <c r="A86" t="s">
        <v>104</v>
      </c>
      <c r="B86" s="1">
        <v>44977</v>
      </c>
      <c r="C86" s="1" t="str">
        <f t="shared" si="3"/>
        <v>February</v>
      </c>
      <c r="D86" s="2" t="s">
        <v>232</v>
      </c>
      <c r="E86" s="2" t="s">
        <v>235</v>
      </c>
      <c r="F86" t="s">
        <v>236</v>
      </c>
      <c r="G86" t="s">
        <v>244</v>
      </c>
      <c r="H86" t="s">
        <v>246</v>
      </c>
      <c r="I86" t="s">
        <v>14</v>
      </c>
      <c r="J86" s="4">
        <f t="shared" si="4"/>
        <v>3000</v>
      </c>
    </row>
    <row r="87" spans="1:10" x14ac:dyDescent="0.3">
      <c r="A87" t="s">
        <v>105</v>
      </c>
      <c r="B87" s="1">
        <v>45287</v>
      </c>
      <c r="C87" s="1" t="str">
        <f t="shared" si="3"/>
        <v>December</v>
      </c>
      <c r="D87" s="2" t="s">
        <v>28</v>
      </c>
      <c r="E87" s="2" t="s">
        <v>17</v>
      </c>
      <c r="F87" t="s">
        <v>236</v>
      </c>
      <c r="G87" t="s">
        <v>243</v>
      </c>
      <c r="H87" t="s">
        <v>246</v>
      </c>
      <c r="I87" t="s">
        <v>14</v>
      </c>
      <c r="J87" s="4">
        <f t="shared" si="4"/>
        <v>1500</v>
      </c>
    </row>
    <row r="88" spans="1:10" x14ac:dyDescent="0.3">
      <c r="A88" t="s">
        <v>106</v>
      </c>
      <c r="B88" s="1">
        <v>45025</v>
      </c>
      <c r="C88" s="1" t="str">
        <f t="shared" si="3"/>
        <v>April</v>
      </c>
      <c r="D88" s="2" t="s">
        <v>231</v>
      </c>
      <c r="E88" s="2" t="s">
        <v>234</v>
      </c>
      <c r="F88" t="s">
        <v>236</v>
      </c>
      <c r="G88" t="s">
        <v>243</v>
      </c>
      <c r="H88" t="s">
        <v>18</v>
      </c>
      <c r="J88" s="4">
        <f t="shared" si="4"/>
        <v>1500</v>
      </c>
    </row>
    <row r="89" spans="1:10" x14ac:dyDescent="0.3">
      <c r="A89" t="s">
        <v>107</v>
      </c>
      <c r="B89" s="1">
        <v>44986</v>
      </c>
      <c r="C89" s="1" t="str">
        <f t="shared" si="3"/>
        <v>March</v>
      </c>
      <c r="D89" s="2" t="s">
        <v>232</v>
      </c>
      <c r="E89" s="2" t="s">
        <v>234</v>
      </c>
      <c r="F89" t="s">
        <v>240</v>
      </c>
      <c r="G89" t="s">
        <v>244</v>
      </c>
      <c r="H89" t="s">
        <v>13</v>
      </c>
      <c r="I89" t="s">
        <v>14</v>
      </c>
      <c r="J89" s="4">
        <f t="shared" si="4"/>
        <v>2000</v>
      </c>
    </row>
    <row r="90" spans="1:10" x14ac:dyDescent="0.3">
      <c r="A90" t="s">
        <v>108</v>
      </c>
      <c r="B90" s="1">
        <v>45073</v>
      </c>
      <c r="C90" s="1" t="str">
        <f t="shared" si="3"/>
        <v>May</v>
      </c>
      <c r="D90" s="2" t="s">
        <v>28</v>
      </c>
      <c r="E90" s="2" t="s">
        <v>22</v>
      </c>
      <c r="F90" t="s">
        <v>240</v>
      </c>
      <c r="G90" t="s">
        <v>243</v>
      </c>
      <c r="H90" t="s">
        <v>13</v>
      </c>
      <c r="J90" s="4">
        <f t="shared" si="4"/>
        <v>1000</v>
      </c>
    </row>
    <row r="91" spans="1:10" x14ac:dyDescent="0.3">
      <c r="A91" t="s">
        <v>109</v>
      </c>
      <c r="B91" s="1">
        <v>45105</v>
      </c>
      <c r="C91" s="1" t="str">
        <f t="shared" si="3"/>
        <v>June</v>
      </c>
      <c r="D91" s="2" t="s">
        <v>230</v>
      </c>
      <c r="E91" s="2" t="s">
        <v>22</v>
      </c>
      <c r="F91" t="s">
        <v>240</v>
      </c>
      <c r="G91" t="s">
        <v>243</v>
      </c>
      <c r="H91" t="s">
        <v>246</v>
      </c>
      <c r="I91" t="s">
        <v>14</v>
      </c>
      <c r="J91" s="4">
        <f t="shared" si="4"/>
        <v>1000</v>
      </c>
    </row>
    <row r="92" spans="1:10" x14ac:dyDescent="0.3">
      <c r="A92" t="s">
        <v>110</v>
      </c>
      <c r="B92" s="1">
        <v>45230</v>
      </c>
      <c r="C92" s="1" t="str">
        <f t="shared" si="3"/>
        <v>October</v>
      </c>
      <c r="D92" s="2" t="s">
        <v>28</v>
      </c>
      <c r="E92" s="2" t="s">
        <v>17</v>
      </c>
      <c r="F92" t="s">
        <v>238</v>
      </c>
      <c r="G92" t="s">
        <v>242</v>
      </c>
      <c r="H92" t="s">
        <v>18</v>
      </c>
      <c r="I92" t="s">
        <v>14</v>
      </c>
      <c r="J92" s="4">
        <f t="shared" si="4"/>
        <v>3500</v>
      </c>
    </row>
    <row r="93" spans="1:10" x14ac:dyDescent="0.3">
      <c r="A93" t="s">
        <v>111</v>
      </c>
      <c r="B93" s="1">
        <v>45164</v>
      </c>
      <c r="C93" s="1" t="str">
        <f t="shared" si="3"/>
        <v>August</v>
      </c>
      <c r="D93" s="2" t="s">
        <v>28</v>
      </c>
      <c r="E93" s="2" t="s">
        <v>234</v>
      </c>
      <c r="F93" t="s">
        <v>236</v>
      </c>
      <c r="G93" t="s">
        <v>243</v>
      </c>
      <c r="H93" t="s">
        <v>245</v>
      </c>
      <c r="I93" t="s">
        <v>14</v>
      </c>
      <c r="J93" s="4">
        <f t="shared" si="4"/>
        <v>1500</v>
      </c>
    </row>
    <row r="94" spans="1:10" x14ac:dyDescent="0.3">
      <c r="A94" t="s">
        <v>112</v>
      </c>
      <c r="B94" s="1">
        <v>45226</v>
      </c>
      <c r="C94" s="1" t="str">
        <f t="shared" si="3"/>
        <v>October</v>
      </c>
      <c r="D94" s="2" t="s">
        <v>231</v>
      </c>
      <c r="E94" s="2" t="s">
        <v>234</v>
      </c>
      <c r="F94" t="s">
        <v>238</v>
      </c>
      <c r="G94" t="s">
        <v>244</v>
      </c>
      <c r="H94" t="s">
        <v>246</v>
      </c>
      <c r="I94" t="s">
        <v>14</v>
      </c>
      <c r="J94" s="4">
        <f t="shared" si="4"/>
        <v>5000</v>
      </c>
    </row>
    <row r="95" spans="1:10" x14ac:dyDescent="0.3">
      <c r="A95" t="s">
        <v>113</v>
      </c>
      <c r="B95" s="1">
        <v>45107</v>
      </c>
      <c r="C95" s="1" t="str">
        <f t="shared" si="3"/>
        <v>June</v>
      </c>
      <c r="D95" s="2" t="s">
        <v>28</v>
      </c>
      <c r="E95" s="2" t="s">
        <v>235</v>
      </c>
      <c r="F95" t="s">
        <v>240</v>
      </c>
      <c r="G95" t="s">
        <v>242</v>
      </c>
      <c r="H95" t="s">
        <v>18</v>
      </c>
      <c r="J95" s="4">
        <f t="shared" si="4"/>
        <v>1400</v>
      </c>
    </row>
    <row r="96" spans="1:10" x14ac:dyDescent="0.3">
      <c r="A96" t="s">
        <v>114</v>
      </c>
      <c r="B96" s="1">
        <v>45096</v>
      </c>
      <c r="C96" s="1" t="str">
        <f t="shared" si="3"/>
        <v>June</v>
      </c>
      <c r="D96" s="2" t="s">
        <v>232</v>
      </c>
      <c r="E96" s="2" t="s">
        <v>234</v>
      </c>
      <c r="F96" t="s">
        <v>238</v>
      </c>
      <c r="G96" t="s">
        <v>243</v>
      </c>
      <c r="H96" t="s">
        <v>246</v>
      </c>
      <c r="I96" t="s">
        <v>14</v>
      </c>
      <c r="J96" s="4">
        <f t="shared" si="4"/>
        <v>2500</v>
      </c>
    </row>
    <row r="97" spans="1:10" x14ac:dyDescent="0.3">
      <c r="A97" t="s">
        <v>115</v>
      </c>
      <c r="B97" s="1">
        <v>45129</v>
      </c>
      <c r="C97" s="1" t="str">
        <f t="shared" si="3"/>
        <v>July</v>
      </c>
      <c r="D97" s="2" t="s">
        <v>232</v>
      </c>
      <c r="E97" s="2" t="s">
        <v>234</v>
      </c>
      <c r="F97" t="s">
        <v>236</v>
      </c>
      <c r="G97" t="s">
        <v>242</v>
      </c>
      <c r="H97" t="s">
        <v>245</v>
      </c>
      <c r="I97" t="s">
        <v>14</v>
      </c>
      <c r="J97" s="4">
        <f t="shared" si="4"/>
        <v>2100</v>
      </c>
    </row>
    <row r="98" spans="1:10" x14ac:dyDescent="0.3">
      <c r="A98" t="s">
        <v>116</v>
      </c>
      <c r="B98" s="1">
        <v>45007</v>
      </c>
      <c r="C98" s="1" t="str">
        <f t="shared" si="3"/>
        <v>March</v>
      </c>
      <c r="D98" s="2" t="s">
        <v>232</v>
      </c>
      <c r="E98" s="2" t="s">
        <v>235</v>
      </c>
      <c r="F98" t="s">
        <v>236</v>
      </c>
      <c r="G98" t="s">
        <v>244</v>
      </c>
      <c r="H98" t="s">
        <v>245</v>
      </c>
      <c r="I98" t="s">
        <v>14</v>
      </c>
      <c r="J98" s="4">
        <f t="shared" si="4"/>
        <v>3000</v>
      </c>
    </row>
    <row r="99" spans="1:10" x14ac:dyDescent="0.3">
      <c r="A99" t="s">
        <v>117</v>
      </c>
      <c r="B99" s="1">
        <v>45125</v>
      </c>
      <c r="C99" s="1" t="str">
        <f t="shared" si="3"/>
        <v>July</v>
      </c>
      <c r="D99" s="2" t="s">
        <v>230</v>
      </c>
      <c r="E99" s="2" t="s">
        <v>17</v>
      </c>
      <c r="F99" t="s">
        <v>236</v>
      </c>
      <c r="G99" t="s">
        <v>244</v>
      </c>
      <c r="H99" t="s">
        <v>245</v>
      </c>
      <c r="J99" s="4">
        <f t="shared" si="4"/>
        <v>3000</v>
      </c>
    </row>
    <row r="100" spans="1:10" x14ac:dyDescent="0.3">
      <c r="A100" t="s">
        <v>118</v>
      </c>
      <c r="B100" s="1">
        <v>45174</v>
      </c>
      <c r="C100" s="1" t="str">
        <f t="shared" si="3"/>
        <v>September</v>
      </c>
      <c r="D100" s="2" t="s">
        <v>232</v>
      </c>
      <c r="E100" s="2" t="s">
        <v>235</v>
      </c>
      <c r="F100" t="s">
        <v>240</v>
      </c>
      <c r="G100" t="s">
        <v>243</v>
      </c>
      <c r="H100" t="s">
        <v>18</v>
      </c>
      <c r="I100" t="s">
        <v>14</v>
      </c>
      <c r="J100" s="4">
        <f t="shared" si="4"/>
        <v>1000</v>
      </c>
    </row>
    <row r="101" spans="1:10" x14ac:dyDescent="0.3">
      <c r="A101" t="s">
        <v>119</v>
      </c>
      <c r="B101" s="1">
        <v>44946</v>
      </c>
      <c r="C101" s="1" t="str">
        <f t="shared" si="3"/>
        <v>January</v>
      </c>
      <c r="D101" s="2" t="s">
        <v>28</v>
      </c>
      <c r="E101" s="2" t="s">
        <v>234</v>
      </c>
      <c r="F101" t="s">
        <v>238</v>
      </c>
      <c r="G101" t="s">
        <v>244</v>
      </c>
      <c r="H101" t="s">
        <v>13</v>
      </c>
      <c r="I101" t="s">
        <v>14</v>
      </c>
      <c r="J101" s="4">
        <f t="shared" si="4"/>
        <v>5000</v>
      </c>
    </row>
    <row r="102" spans="1:10" x14ac:dyDescent="0.3">
      <c r="A102" t="s">
        <v>120</v>
      </c>
      <c r="B102" s="1">
        <v>45135</v>
      </c>
      <c r="C102" s="1" t="str">
        <f t="shared" si="3"/>
        <v>July</v>
      </c>
      <c r="D102" s="2" t="s">
        <v>230</v>
      </c>
      <c r="E102" s="2" t="s">
        <v>22</v>
      </c>
      <c r="F102" t="s">
        <v>237</v>
      </c>
      <c r="G102" t="s">
        <v>244</v>
      </c>
      <c r="H102" t="s">
        <v>18</v>
      </c>
      <c r="I102" t="s">
        <v>14</v>
      </c>
      <c r="J102" s="4">
        <f t="shared" si="4"/>
        <v>4000</v>
      </c>
    </row>
    <row r="103" spans="1:10" x14ac:dyDescent="0.3">
      <c r="A103" t="s">
        <v>121</v>
      </c>
      <c r="B103" s="1">
        <v>45040</v>
      </c>
      <c r="C103" s="1" t="str">
        <f t="shared" ref="C103:C134" si="5">TEXT(B103,"MMMM")</f>
        <v>April</v>
      </c>
      <c r="D103" s="2" t="s">
        <v>232</v>
      </c>
      <c r="E103" s="2" t="s">
        <v>22</v>
      </c>
      <c r="F103" t="s">
        <v>238</v>
      </c>
      <c r="G103" t="s">
        <v>242</v>
      </c>
      <c r="H103" t="s">
        <v>245</v>
      </c>
      <c r="J103" s="4">
        <f t="shared" si="4"/>
        <v>3500</v>
      </c>
    </row>
    <row r="104" spans="1:10" x14ac:dyDescent="0.3">
      <c r="A104" t="s">
        <v>122</v>
      </c>
      <c r="B104" s="1">
        <v>44962</v>
      </c>
      <c r="C104" s="1" t="str">
        <f t="shared" si="5"/>
        <v>February</v>
      </c>
      <c r="D104" s="2" t="s">
        <v>28</v>
      </c>
      <c r="E104" s="2" t="s">
        <v>17</v>
      </c>
      <c r="F104" t="s">
        <v>237</v>
      </c>
      <c r="G104" t="s">
        <v>244</v>
      </c>
      <c r="H104" t="s">
        <v>13</v>
      </c>
      <c r="J104" s="4">
        <f t="shared" si="4"/>
        <v>4000</v>
      </c>
    </row>
    <row r="105" spans="1:10" x14ac:dyDescent="0.3">
      <c r="A105" t="s">
        <v>123</v>
      </c>
      <c r="B105" s="1">
        <v>45118</v>
      </c>
      <c r="C105" s="1" t="str">
        <f t="shared" si="5"/>
        <v>July</v>
      </c>
      <c r="D105" s="2" t="s">
        <v>231</v>
      </c>
      <c r="E105" s="2" t="s">
        <v>234</v>
      </c>
      <c r="F105" t="s">
        <v>236</v>
      </c>
      <c r="G105" t="s">
        <v>244</v>
      </c>
      <c r="H105" t="s">
        <v>13</v>
      </c>
      <c r="J105" s="4">
        <f t="shared" si="4"/>
        <v>3000</v>
      </c>
    </row>
    <row r="106" spans="1:10" x14ac:dyDescent="0.3">
      <c r="A106" t="s">
        <v>124</v>
      </c>
      <c r="B106" s="1">
        <v>45102</v>
      </c>
      <c r="C106" s="1" t="str">
        <f t="shared" si="5"/>
        <v>June</v>
      </c>
      <c r="D106" s="2" t="s">
        <v>231</v>
      </c>
      <c r="E106" s="2" t="s">
        <v>17</v>
      </c>
      <c r="F106" t="s">
        <v>238</v>
      </c>
      <c r="G106" t="s">
        <v>244</v>
      </c>
      <c r="H106" t="s">
        <v>18</v>
      </c>
      <c r="I106" t="s">
        <v>14</v>
      </c>
      <c r="J106" s="4">
        <f t="shared" si="4"/>
        <v>5000</v>
      </c>
    </row>
    <row r="107" spans="1:10" x14ac:dyDescent="0.3">
      <c r="A107" t="s">
        <v>125</v>
      </c>
      <c r="B107" s="1">
        <v>45037</v>
      </c>
      <c r="C107" s="1" t="str">
        <f t="shared" si="5"/>
        <v>April</v>
      </c>
      <c r="D107" s="2" t="s">
        <v>232</v>
      </c>
      <c r="E107" s="2" t="s">
        <v>17</v>
      </c>
      <c r="F107" t="s">
        <v>239</v>
      </c>
      <c r="G107" t="s">
        <v>242</v>
      </c>
      <c r="H107" t="s">
        <v>18</v>
      </c>
      <c r="J107" s="4">
        <f t="shared" si="4"/>
        <v>700</v>
      </c>
    </row>
    <row r="108" spans="1:10" x14ac:dyDescent="0.3">
      <c r="A108" t="s">
        <v>126</v>
      </c>
      <c r="B108" s="1">
        <v>45006</v>
      </c>
      <c r="C108" s="1" t="str">
        <f t="shared" si="5"/>
        <v>March</v>
      </c>
      <c r="D108" s="2" t="s">
        <v>230</v>
      </c>
      <c r="E108" s="2" t="s">
        <v>234</v>
      </c>
      <c r="F108" t="s">
        <v>239</v>
      </c>
      <c r="G108" t="s">
        <v>242</v>
      </c>
      <c r="H108" t="s">
        <v>18</v>
      </c>
      <c r="J108" s="4">
        <f t="shared" si="4"/>
        <v>700</v>
      </c>
    </row>
    <row r="109" spans="1:10" x14ac:dyDescent="0.3">
      <c r="A109" t="s">
        <v>127</v>
      </c>
      <c r="B109" s="1">
        <v>45274</v>
      </c>
      <c r="C109" s="1" t="str">
        <f t="shared" si="5"/>
        <v>December</v>
      </c>
      <c r="D109" s="2" t="s">
        <v>28</v>
      </c>
      <c r="E109" s="2" t="s">
        <v>235</v>
      </c>
      <c r="F109" t="s">
        <v>237</v>
      </c>
      <c r="G109" t="s">
        <v>242</v>
      </c>
      <c r="H109" t="s">
        <v>245</v>
      </c>
      <c r="I109" t="s">
        <v>14</v>
      </c>
      <c r="J109" s="4">
        <f t="shared" si="4"/>
        <v>2800</v>
      </c>
    </row>
    <row r="110" spans="1:10" x14ac:dyDescent="0.3">
      <c r="A110" t="s">
        <v>128</v>
      </c>
      <c r="B110" s="1">
        <v>44949</v>
      </c>
      <c r="C110" s="1" t="str">
        <f t="shared" si="5"/>
        <v>January</v>
      </c>
      <c r="D110" s="2" t="s">
        <v>28</v>
      </c>
      <c r="E110" s="2" t="s">
        <v>235</v>
      </c>
      <c r="F110" t="s">
        <v>240</v>
      </c>
      <c r="G110" t="s">
        <v>242</v>
      </c>
      <c r="H110" t="s">
        <v>246</v>
      </c>
      <c r="I110" t="s">
        <v>14</v>
      </c>
      <c r="J110" s="4">
        <f t="shared" si="4"/>
        <v>1400</v>
      </c>
    </row>
    <row r="111" spans="1:10" x14ac:dyDescent="0.3">
      <c r="A111" t="s">
        <v>129</v>
      </c>
      <c r="B111" s="1">
        <v>44991</v>
      </c>
      <c r="C111" s="1" t="str">
        <f t="shared" si="5"/>
        <v>March</v>
      </c>
      <c r="D111" s="2" t="s">
        <v>28</v>
      </c>
      <c r="E111" s="2" t="s">
        <v>17</v>
      </c>
      <c r="F111" t="s">
        <v>240</v>
      </c>
      <c r="G111" t="s">
        <v>243</v>
      </c>
      <c r="H111" t="s">
        <v>246</v>
      </c>
      <c r="I111" t="s">
        <v>14</v>
      </c>
      <c r="J111" s="4">
        <f t="shared" si="4"/>
        <v>1000</v>
      </c>
    </row>
    <row r="112" spans="1:10" x14ac:dyDescent="0.3">
      <c r="A112" t="s">
        <v>130</v>
      </c>
      <c r="B112" s="1">
        <v>44971</v>
      </c>
      <c r="C112" s="1" t="str">
        <f t="shared" si="5"/>
        <v>February</v>
      </c>
      <c r="D112" s="2" t="s">
        <v>230</v>
      </c>
      <c r="E112" s="2" t="s">
        <v>22</v>
      </c>
      <c r="F112" t="s">
        <v>237</v>
      </c>
      <c r="G112" t="s">
        <v>242</v>
      </c>
      <c r="H112" t="s">
        <v>18</v>
      </c>
      <c r="J112" s="4">
        <f t="shared" si="4"/>
        <v>2800</v>
      </c>
    </row>
    <row r="113" spans="1:10" x14ac:dyDescent="0.3">
      <c r="A113" t="s">
        <v>131</v>
      </c>
      <c r="B113" s="1">
        <v>45019</v>
      </c>
      <c r="C113" s="1" t="str">
        <f t="shared" si="5"/>
        <v>April</v>
      </c>
      <c r="D113" s="2" t="s">
        <v>232</v>
      </c>
      <c r="E113" s="2" t="s">
        <v>234</v>
      </c>
      <c r="F113" t="s">
        <v>238</v>
      </c>
      <c r="G113" t="s">
        <v>243</v>
      </c>
      <c r="H113" t="s">
        <v>18</v>
      </c>
      <c r="I113" t="s">
        <v>14</v>
      </c>
      <c r="J113" s="4">
        <f t="shared" si="4"/>
        <v>2500</v>
      </c>
    </row>
    <row r="114" spans="1:10" x14ac:dyDescent="0.3">
      <c r="A114" t="s">
        <v>132</v>
      </c>
      <c r="B114" s="1">
        <v>45257</v>
      </c>
      <c r="C114" s="1" t="str">
        <f t="shared" si="5"/>
        <v>November</v>
      </c>
      <c r="D114" s="2" t="s">
        <v>230</v>
      </c>
      <c r="E114" s="2" t="s">
        <v>234</v>
      </c>
      <c r="F114" t="s">
        <v>238</v>
      </c>
      <c r="G114" t="s">
        <v>243</v>
      </c>
      <c r="H114" t="s">
        <v>13</v>
      </c>
      <c r="I114" t="s">
        <v>14</v>
      </c>
      <c r="J114" s="4">
        <f t="shared" si="4"/>
        <v>2500</v>
      </c>
    </row>
    <row r="115" spans="1:10" x14ac:dyDescent="0.3">
      <c r="A115" t="s">
        <v>133</v>
      </c>
      <c r="B115" s="1">
        <v>45123</v>
      </c>
      <c r="C115" s="1" t="str">
        <f t="shared" si="5"/>
        <v>July</v>
      </c>
      <c r="D115" s="2" t="s">
        <v>230</v>
      </c>
      <c r="E115" s="2" t="s">
        <v>22</v>
      </c>
      <c r="F115" t="s">
        <v>238</v>
      </c>
      <c r="G115" t="s">
        <v>242</v>
      </c>
      <c r="H115" t="s">
        <v>18</v>
      </c>
      <c r="I115" t="s">
        <v>14</v>
      </c>
      <c r="J115" s="4">
        <f t="shared" si="4"/>
        <v>3500</v>
      </c>
    </row>
    <row r="116" spans="1:10" x14ac:dyDescent="0.3">
      <c r="A116" t="s">
        <v>134</v>
      </c>
      <c r="B116" s="1">
        <v>45194</v>
      </c>
      <c r="C116" s="1" t="str">
        <f t="shared" si="5"/>
        <v>September</v>
      </c>
      <c r="D116" s="2" t="s">
        <v>230</v>
      </c>
      <c r="E116" s="2" t="s">
        <v>235</v>
      </c>
      <c r="F116" t="s">
        <v>240</v>
      </c>
      <c r="G116" t="s">
        <v>243</v>
      </c>
      <c r="H116" t="s">
        <v>13</v>
      </c>
      <c r="I116" t="s">
        <v>14</v>
      </c>
      <c r="J116" s="4">
        <f t="shared" si="4"/>
        <v>1000</v>
      </c>
    </row>
    <row r="117" spans="1:10" x14ac:dyDescent="0.3">
      <c r="A117" t="s">
        <v>135</v>
      </c>
      <c r="B117" s="1">
        <v>45084</v>
      </c>
      <c r="C117" s="1" t="str">
        <f t="shared" si="5"/>
        <v>June</v>
      </c>
      <c r="D117" s="2" t="s">
        <v>230</v>
      </c>
      <c r="E117" s="2" t="s">
        <v>22</v>
      </c>
      <c r="F117" t="s">
        <v>238</v>
      </c>
      <c r="G117" t="s">
        <v>242</v>
      </c>
      <c r="H117" t="s">
        <v>13</v>
      </c>
      <c r="I117" t="s">
        <v>14</v>
      </c>
      <c r="J117" s="4">
        <f t="shared" si="4"/>
        <v>3500</v>
      </c>
    </row>
    <row r="118" spans="1:10" x14ac:dyDescent="0.3">
      <c r="A118" t="s">
        <v>136</v>
      </c>
      <c r="B118" s="1">
        <v>44985</v>
      </c>
      <c r="C118" s="1" t="str">
        <f t="shared" si="5"/>
        <v>February</v>
      </c>
      <c r="D118" s="2" t="s">
        <v>28</v>
      </c>
      <c r="E118" s="2" t="s">
        <v>17</v>
      </c>
      <c r="F118" t="s">
        <v>236</v>
      </c>
      <c r="G118" t="s">
        <v>244</v>
      </c>
      <c r="H118" t="s">
        <v>18</v>
      </c>
      <c r="I118" t="s">
        <v>14</v>
      </c>
      <c r="J118" s="4">
        <f t="shared" si="4"/>
        <v>3000</v>
      </c>
    </row>
    <row r="119" spans="1:10" x14ac:dyDescent="0.3">
      <c r="A119" t="s">
        <v>137</v>
      </c>
      <c r="B119" s="1">
        <v>45203</v>
      </c>
      <c r="C119" s="1" t="str">
        <f t="shared" si="5"/>
        <v>October</v>
      </c>
      <c r="D119" s="2" t="s">
        <v>28</v>
      </c>
      <c r="E119" s="2" t="s">
        <v>17</v>
      </c>
      <c r="F119" t="s">
        <v>240</v>
      </c>
      <c r="G119" t="s">
        <v>242</v>
      </c>
      <c r="H119" t="s">
        <v>13</v>
      </c>
      <c r="J119" s="4">
        <f t="shared" si="4"/>
        <v>1400</v>
      </c>
    </row>
    <row r="120" spans="1:10" x14ac:dyDescent="0.3">
      <c r="A120" t="s">
        <v>138</v>
      </c>
      <c r="B120" s="1">
        <v>45163</v>
      </c>
      <c r="C120" s="1" t="str">
        <f t="shared" si="5"/>
        <v>August</v>
      </c>
      <c r="D120" s="2" t="s">
        <v>230</v>
      </c>
      <c r="E120" s="2" t="s">
        <v>234</v>
      </c>
      <c r="F120" t="s">
        <v>236</v>
      </c>
      <c r="G120" t="s">
        <v>244</v>
      </c>
      <c r="H120" t="s">
        <v>13</v>
      </c>
      <c r="I120" t="s">
        <v>14</v>
      </c>
      <c r="J120" s="4">
        <f t="shared" si="4"/>
        <v>3000</v>
      </c>
    </row>
    <row r="121" spans="1:10" x14ac:dyDescent="0.3">
      <c r="A121" t="s">
        <v>139</v>
      </c>
      <c r="B121" s="1">
        <v>44948</v>
      </c>
      <c r="C121" s="1" t="str">
        <f t="shared" si="5"/>
        <v>January</v>
      </c>
      <c r="D121" s="2" t="s">
        <v>232</v>
      </c>
      <c r="E121" s="2" t="s">
        <v>22</v>
      </c>
      <c r="F121" t="s">
        <v>236</v>
      </c>
      <c r="G121" t="s">
        <v>242</v>
      </c>
      <c r="H121" t="s">
        <v>245</v>
      </c>
      <c r="J121" s="4">
        <f t="shared" si="4"/>
        <v>2100</v>
      </c>
    </row>
    <row r="122" spans="1:10" x14ac:dyDescent="0.3">
      <c r="A122" t="s">
        <v>140</v>
      </c>
      <c r="B122" s="1">
        <v>45262</v>
      </c>
      <c r="C122" s="1" t="str">
        <f t="shared" si="5"/>
        <v>December</v>
      </c>
      <c r="D122" s="2" t="s">
        <v>231</v>
      </c>
      <c r="E122" s="2" t="s">
        <v>234</v>
      </c>
      <c r="F122" t="s">
        <v>237</v>
      </c>
      <c r="G122" t="s">
        <v>242</v>
      </c>
      <c r="H122" t="s">
        <v>245</v>
      </c>
      <c r="I122" t="s">
        <v>14</v>
      </c>
      <c r="J122" s="4">
        <f t="shared" si="4"/>
        <v>2800</v>
      </c>
    </row>
    <row r="123" spans="1:10" x14ac:dyDescent="0.3">
      <c r="A123" t="s">
        <v>141</v>
      </c>
      <c r="B123" s="1">
        <v>45236</v>
      </c>
      <c r="C123" s="1" t="str">
        <f t="shared" si="5"/>
        <v>November</v>
      </c>
      <c r="D123" s="2" t="s">
        <v>232</v>
      </c>
      <c r="E123" s="2" t="s">
        <v>17</v>
      </c>
      <c r="F123" t="s">
        <v>238</v>
      </c>
      <c r="G123" t="s">
        <v>242</v>
      </c>
      <c r="H123" t="s">
        <v>18</v>
      </c>
      <c r="I123" t="s">
        <v>14</v>
      </c>
      <c r="J123" s="4">
        <f t="shared" si="4"/>
        <v>3500</v>
      </c>
    </row>
    <row r="124" spans="1:10" x14ac:dyDescent="0.3">
      <c r="A124" t="s">
        <v>142</v>
      </c>
      <c r="B124" s="1">
        <v>45122</v>
      </c>
      <c r="C124" s="1" t="str">
        <f t="shared" si="5"/>
        <v>July</v>
      </c>
      <c r="D124" s="2" t="s">
        <v>28</v>
      </c>
      <c r="E124" s="2" t="s">
        <v>235</v>
      </c>
      <c r="F124" t="s">
        <v>236</v>
      </c>
      <c r="G124" t="s">
        <v>244</v>
      </c>
      <c r="H124" t="s">
        <v>245</v>
      </c>
      <c r="J124" s="4">
        <f t="shared" si="4"/>
        <v>3000</v>
      </c>
    </row>
    <row r="125" spans="1:10" x14ac:dyDescent="0.3">
      <c r="A125" t="s">
        <v>143</v>
      </c>
      <c r="B125" s="1">
        <v>45124</v>
      </c>
      <c r="C125" s="1" t="str">
        <f t="shared" si="5"/>
        <v>July</v>
      </c>
      <c r="D125" s="2" t="s">
        <v>232</v>
      </c>
      <c r="E125" s="2" t="s">
        <v>22</v>
      </c>
      <c r="F125" t="s">
        <v>238</v>
      </c>
      <c r="G125" t="s">
        <v>242</v>
      </c>
      <c r="H125" t="s">
        <v>245</v>
      </c>
      <c r="I125" t="s">
        <v>14</v>
      </c>
      <c r="J125" s="4">
        <f t="shared" si="4"/>
        <v>3500</v>
      </c>
    </row>
    <row r="126" spans="1:10" x14ac:dyDescent="0.3">
      <c r="A126" t="s">
        <v>144</v>
      </c>
      <c r="B126" s="1">
        <v>45279</v>
      </c>
      <c r="C126" s="1" t="str">
        <f t="shared" si="5"/>
        <v>December</v>
      </c>
      <c r="D126" s="2" t="s">
        <v>231</v>
      </c>
      <c r="E126" s="2" t="s">
        <v>17</v>
      </c>
      <c r="F126" t="s">
        <v>238</v>
      </c>
      <c r="G126" t="s">
        <v>243</v>
      </c>
      <c r="H126" t="s">
        <v>246</v>
      </c>
      <c r="I126" t="s">
        <v>14</v>
      </c>
      <c r="J126" s="4">
        <f t="shared" si="4"/>
        <v>2500</v>
      </c>
    </row>
    <row r="127" spans="1:10" x14ac:dyDescent="0.3">
      <c r="A127" t="s">
        <v>145</v>
      </c>
      <c r="B127" s="1">
        <v>44971</v>
      </c>
      <c r="C127" s="1" t="str">
        <f t="shared" si="5"/>
        <v>February</v>
      </c>
      <c r="D127" s="2" t="s">
        <v>232</v>
      </c>
      <c r="E127" s="2" t="s">
        <v>17</v>
      </c>
      <c r="F127" t="s">
        <v>238</v>
      </c>
      <c r="G127" t="s">
        <v>244</v>
      </c>
      <c r="H127" t="s">
        <v>18</v>
      </c>
      <c r="I127" t="s">
        <v>14</v>
      </c>
      <c r="J127" s="4">
        <f t="shared" si="4"/>
        <v>5000</v>
      </c>
    </row>
    <row r="128" spans="1:10" x14ac:dyDescent="0.3">
      <c r="A128" t="s">
        <v>146</v>
      </c>
      <c r="B128" s="1">
        <v>45069</v>
      </c>
      <c r="C128" s="1" t="str">
        <f t="shared" si="5"/>
        <v>May</v>
      </c>
      <c r="D128" s="2" t="s">
        <v>232</v>
      </c>
      <c r="E128" s="2" t="s">
        <v>234</v>
      </c>
      <c r="F128" t="s">
        <v>236</v>
      </c>
      <c r="G128" t="s">
        <v>243</v>
      </c>
      <c r="H128" t="s">
        <v>245</v>
      </c>
      <c r="I128" t="s">
        <v>14</v>
      </c>
      <c r="J128" s="4">
        <f t="shared" si="4"/>
        <v>1500</v>
      </c>
    </row>
    <row r="129" spans="1:10" x14ac:dyDescent="0.3">
      <c r="A129" t="s">
        <v>147</v>
      </c>
      <c r="B129" s="1">
        <v>45057</v>
      </c>
      <c r="C129" s="1" t="str">
        <f t="shared" si="5"/>
        <v>May</v>
      </c>
      <c r="D129" s="2" t="s">
        <v>232</v>
      </c>
      <c r="E129" s="2" t="s">
        <v>235</v>
      </c>
      <c r="F129" t="s">
        <v>238</v>
      </c>
      <c r="G129" t="s">
        <v>242</v>
      </c>
      <c r="H129" t="s">
        <v>13</v>
      </c>
      <c r="J129" s="4">
        <f t="shared" si="4"/>
        <v>3500</v>
      </c>
    </row>
    <row r="130" spans="1:10" x14ac:dyDescent="0.3">
      <c r="A130" t="s">
        <v>148</v>
      </c>
      <c r="B130" s="1">
        <v>45029</v>
      </c>
      <c r="C130" s="1" t="str">
        <f t="shared" si="5"/>
        <v>April</v>
      </c>
      <c r="D130" s="2" t="s">
        <v>232</v>
      </c>
      <c r="E130" s="2" t="s">
        <v>234</v>
      </c>
      <c r="F130" t="s">
        <v>237</v>
      </c>
      <c r="G130" t="s">
        <v>243</v>
      </c>
      <c r="H130" t="s">
        <v>245</v>
      </c>
      <c r="I130" t="s">
        <v>14</v>
      </c>
      <c r="J130" s="4">
        <f t="shared" si="4"/>
        <v>2000</v>
      </c>
    </row>
    <row r="131" spans="1:10" x14ac:dyDescent="0.3">
      <c r="A131" t="s">
        <v>149</v>
      </c>
      <c r="B131" s="1">
        <v>45226</v>
      </c>
      <c r="C131" s="1" t="str">
        <f t="shared" si="5"/>
        <v>October</v>
      </c>
      <c r="D131" s="2" t="s">
        <v>28</v>
      </c>
      <c r="E131" s="2" t="s">
        <v>22</v>
      </c>
      <c r="F131" t="s">
        <v>236</v>
      </c>
      <c r="G131" t="s">
        <v>244</v>
      </c>
      <c r="H131" t="s">
        <v>13</v>
      </c>
      <c r="I131" t="s">
        <v>14</v>
      </c>
      <c r="J131" s="4">
        <f t="shared" si="4"/>
        <v>3000</v>
      </c>
    </row>
    <row r="132" spans="1:10" x14ac:dyDescent="0.3">
      <c r="A132" t="s">
        <v>150</v>
      </c>
      <c r="B132" s="1">
        <v>44975</v>
      </c>
      <c r="C132" s="1" t="str">
        <f t="shared" si="5"/>
        <v>February</v>
      </c>
      <c r="D132" s="2" t="s">
        <v>232</v>
      </c>
      <c r="E132" s="2" t="s">
        <v>22</v>
      </c>
      <c r="F132" t="s">
        <v>238</v>
      </c>
      <c r="G132" t="s">
        <v>242</v>
      </c>
      <c r="H132" t="s">
        <v>13</v>
      </c>
      <c r="I132" t="s">
        <v>14</v>
      </c>
      <c r="J132" s="4">
        <f t="shared" si="4"/>
        <v>3500</v>
      </c>
    </row>
    <row r="133" spans="1:10" x14ac:dyDescent="0.3">
      <c r="A133" t="s">
        <v>151</v>
      </c>
      <c r="B133" s="1">
        <v>45024</v>
      </c>
      <c r="C133" s="1" t="str">
        <f t="shared" si="5"/>
        <v>April</v>
      </c>
      <c r="D133" s="2" t="s">
        <v>28</v>
      </c>
      <c r="E133" s="2" t="s">
        <v>22</v>
      </c>
      <c r="F133" t="s">
        <v>237</v>
      </c>
      <c r="G133" t="s">
        <v>244</v>
      </c>
      <c r="H133" t="s">
        <v>246</v>
      </c>
      <c r="I133" t="s">
        <v>14</v>
      </c>
      <c r="J133" s="4">
        <f t="shared" si="4"/>
        <v>4000</v>
      </c>
    </row>
    <row r="134" spans="1:10" x14ac:dyDescent="0.3">
      <c r="A134" t="s">
        <v>152</v>
      </c>
      <c r="B134" s="1">
        <v>44972</v>
      </c>
      <c r="C134" s="1" t="str">
        <f t="shared" si="5"/>
        <v>February</v>
      </c>
      <c r="D134" s="2" t="s">
        <v>230</v>
      </c>
      <c r="E134" s="2" t="s">
        <v>22</v>
      </c>
      <c r="F134" t="s">
        <v>240</v>
      </c>
      <c r="G134" t="s">
        <v>244</v>
      </c>
      <c r="H134" t="s">
        <v>246</v>
      </c>
      <c r="J134" s="4">
        <f t="shared" si="4"/>
        <v>2000</v>
      </c>
    </row>
    <row r="135" spans="1:10" x14ac:dyDescent="0.3">
      <c r="A135" t="s">
        <v>153</v>
      </c>
      <c r="B135" s="1">
        <v>44955</v>
      </c>
      <c r="C135" s="1" t="str">
        <f t="shared" ref="C135:C166" si="6">TEXT(B135,"MMMM")</f>
        <v>January</v>
      </c>
      <c r="D135" s="2" t="s">
        <v>230</v>
      </c>
      <c r="E135" s="2" t="s">
        <v>17</v>
      </c>
      <c r="F135" t="s">
        <v>238</v>
      </c>
      <c r="G135" t="s">
        <v>242</v>
      </c>
      <c r="H135" t="s">
        <v>18</v>
      </c>
      <c r="J135" s="4">
        <f t="shared" si="4"/>
        <v>3500</v>
      </c>
    </row>
    <row r="136" spans="1:10" x14ac:dyDescent="0.3">
      <c r="A136" t="s">
        <v>154</v>
      </c>
      <c r="B136" s="1">
        <v>45056</v>
      </c>
      <c r="C136" s="1" t="str">
        <f t="shared" si="6"/>
        <v>May</v>
      </c>
      <c r="D136" s="2" t="s">
        <v>231</v>
      </c>
      <c r="E136" s="2" t="s">
        <v>22</v>
      </c>
      <c r="F136" t="s">
        <v>240</v>
      </c>
      <c r="G136" t="s">
        <v>242</v>
      </c>
      <c r="H136" t="s">
        <v>245</v>
      </c>
      <c r="I136" t="s">
        <v>14</v>
      </c>
      <c r="J136" s="4">
        <f t="shared" ref="J136:J199" si="7">F136*G136</f>
        <v>1400</v>
      </c>
    </row>
    <row r="137" spans="1:10" x14ac:dyDescent="0.3">
      <c r="A137" t="s">
        <v>155</v>
      </c>
      <c r="B137" s="1">
        <v>45035</v>
      </c>
      <c r="C137" s="1" t="str">
        <f t="shared" si="6"/>
        <v>April</v>
      </c>
      <c r="D137" s="2" t="s">
        <v>28</v>
      </c>
      <c r="E137" s="2" t="s">
        <v>17</v>
      </c>
      <c r="F137" t="s">
        <v>237</v>
      </c>
      <c r="G137" t="s">
        <v>243</v>
      </c>
      <c r="H137" t="s">
        <v>18</v>
      </c>
      <c r="J137" s="4">
        <f t="shared" si="7"/>
        <v>2000</v>
      </c>
    </row>
    <row r="138" spans="1:10" x14ac:dyDescent="0.3">
      <c r="A138" t="s">
        <v>156</v>
      </c>
      <c r="B138" s="1">
        <v>44980</v>
      </c>
      <c r="C138" s="1" t="str">
        <f t="shared" si="6"/>
        <v>February</v>
      </c>
      <c r="D138" s="2" t="s">
        <v>230</v>
      </c>
      <c r="E138" s="2" t="s">
        <v>22</v>
      </c>
      <c r="F138" t="s">
        <v>238</v>
      </c>
      <c r="G138" t="s">
        <v>242</v>
      </c>
      <c r="H138" t="s">
        <v>18</v>
      </c>
      <c r="I138" t="s">
        <v>14</v>
      </c>
      <c r="J138" s="4">
        <f t="shared" si="7"/>
        <v>3500</v>
      </c>
    </row>
    <row r="139" spans="1:10" x14ac:dyDescent="0.3">
      <c r="A139" t="s">
        <v>157</v>
      </c>
      <c r="B139" s="1">
        <v>45250</v>
      </c>
      <c r="C139" s="1" t="str">
        <f t="shared" si="6"/>
        <v>November</v>
      </c>
      <c r="D139" s="2" t="s">
        <v>28</v>
      </c>
      <c r="E139" s="2" t="s">
        <v>235</v>
      </c>
      <c r="F139" t="s">
        <v>239</v>
      </c>
      <c r="G139" t="s">
        <v>242</v>
      </c>
      <c r="H139" t="s">
        <v>18</v>
      </c>
      <c r="I139" t="s">
        <v>14</v>
      </c>
      <c r="J139" s="4">
        <f t="shared" si="7"/>
        <v>700</v>
      </c>
    </row>
    <row r="140" spans="1:10" x14ac:dyDescent="0.3">
      <c r="A140" t="s">
        <v>158</v>
      </c>
      <c r="B140" s="1">
        <v>45068</v>
      </c>
      <c r="C140" s="1" t="str">
        <f t="shared" si="6"/>
        <v>May</v>
      </c>
      <c r="D140" s="2" t="s">
        <v>232</v>
      </c>
      <c r="E140" s="2" t="s">
        <v>17</v>
      </c>
      <c r="F140" t="s">
        <v>237</v>
      </c>
      <c r="G140" t="s">
        <v>244</v>
      </c>
      <c r="H140" t="s">
        <v>18</v>
      </c>
      <c r="I140" t="s">
        <v>14</v>
      </c>
      <c r="J140" s="4">
        <f t="shared" si="7"/>
        <v>4000</v>
      </c>
    </row>
    <row r="141" spans="1:10" x14ac:dyDescent="0.3">
      <c r="A141" t="s">
        <v>159</v>
      </c>
      <c r="B141" s="1">
        <v>45140</v>
      </c>
      <c r="C141" s="1" t="str">
        <f t="shared" si="6"/>
        <v>August</v>
      </c>
      <c r="D141" s="2" t="s">
        <v>232</v>
      </c>
      <c r="E141" s="2" t="s">
        <v>235</v>
      </c>
      <c r="F141" t="s">
        <v>240</v>
      </c>
      <c r="G141" t="s">
        <v>242</v>
      </c>
      <c r="H141" t="s">
        <v>246</v>
      </c>
      <c r="I141" t="s">
        <v>14</v>
      </c>
      <c r="J141" s="4">
        <f t="shared" si="7"/>
        <v>1400</v>
      </c>
    </row>
    <row r="142" spans="1:10" x14ac:dyDescent="0.3">
      <c r="A142" t="s">
        <v>160</v>
      </c>
      <c r="B142" s="1">
        <v>45136</v>
      </c>
      <c r="C142" s="1" t="str">
        <f t="shared" si="6"/>
        <v>July</v>
      </c>
      <c r="D142" s="2" t="s">
        <v>28</v>
      </c>
      <c r="E142" s="2" t="s">
        <v>22</v>
      </c>
      <c r="F142" t="s">
        <v>236</v>
      </c>
      <c r="G142" t="s">
        <v>243</v>
      </c>
      <c r="H142" t="s">
        <v>246</v>
      </c>
      <c r="J142" s="4">
        <f t="shared" si="7"/>
        <v>1500</v>
      </c>
    </row>
    <row r="143" spans="1:10" x14ac:dyDescent="0.3">
      <c r="A143" t="s">
        <v>161</v>
      </c>
      <c r="B143" s="1">
        <v>45284</v>
      </c>
      <c r="C143" s="1" t="str">
        <f t="shared" si="6"/>
        <v>December</v>
      </c>
      <c r="D143" s="2" t="s">
        <v>231</v>
      </c>
      <c r="E143" s="2" t="s">
        <v>17</v>
      </c>
      <c r="F143" t="s">
        <v>240</v>
      </c>
      <c r="G143" t="s">
        <v>242</v>
      </c>
      <c r="H143" t="s">
        <v>246</v>
      </c>
      <c r="J143" s="4">
        <f t="shared" si="7"/>
        <v>1400</v>
      </c>
    </row>
    <row r="144" spans="1:10" x14ac:dyDescent="0.3">
      <c r="A144" t="s">
        <v>162</v>
      </c>
      <c r="B144" s="1">
        <v>45018</v>
      </c>
      <c r="C144" s="1" t="str">
        <f t="shared" si="6"/>
        <v>April</v>
      </c>
      <c r="D144" s="2" t="s">
        <v>232</v>
      </c>
      <c r="E144" s="2" t="s">
        <v>17</v>
      </c>
      <c r="F144" t="s">
        <v>238</v>
      </c>
      <c r="G144" t="s">
        <v>244</v>
      </c>
      <c r="H144" t="s">
        <v>18</v>
      </c>
      <c r="J144" s="4">
        <f t="shared" si="7"/>
        <v>5000</v>
      </c>
    </row>
    <row r="145" spans="1:10" x14ac:dyDescent="0.3">
      <c r="A145" t="s">
        <v>163</v>
      </c>
      <c r="B145" s="1">
        <v>45256</v>
      </c>
      <c r="C145" s="1" t="str">
        <f t="shared" si="6"/>
        <v>November</v>
      </c>
      <c r="D145" s="2" t="s">
        <v>232</v>
      </c>
      <c r="E145" s="2" t="s">
        <v>17</v>
      </c>
      <c r="F145" t="s">
        <v>238</v>
      </c>
      <c r="G145" t="s">
        <v>244</v>
      </c>
      <c r="H145" t="s">
        <v>246</v>
      </c>
      <c r="I145" t="s">
        <v>14</v>
      </c>
      <c r="J145" s="4">
        <f t="shared" si="7"/>
        <v>5000</v>
      </c>
    </row>
    <row r="146" spans="1:10" x14ac:dyDescent="0.3">
      <c r="A146" t="s">
        <v>164</v>
      </c>
      <c r="B146" s="1">
        <v>45128</v>
      </c>
      <c r="C146" s="1" t="str">
        <f t="shared" si="6"/>
        <v>July</v>
      </c>
      <c r="D146" s="2" t="s">
        <v>231</v>
      </c>
      <c r="E146" s="2" t="s">
        <v>22</v>
      </c>
      <c r="F146" t="s">
        <v>240</v>
      </c>
      <c r="G146" t="s">
        <v>242</v>
      </c>
      <c r="H146" t="s">
        <v>18</v>
      </c>
      <c r="J146" s="4">
        <f t="shared" si="7"/>
        <v>1400</v>
      </c>
    </row>
    <row r="147" spans="1:10" x14ac:dyDescent="0.3">
      <c r="A147" t="s">
        <v>165</v>
      </c>
      <c r="B147" s="1">
        <v>45194</v>
      </c>
      <c r="C147" s="1" t="str">
        <f t="shared" si="6"/>
        <v>September</v>
      </c>
      <c r="D147" s="2" t="s">
        <v>232</v>
      </c>
      <c r="E147" s="2" t="s">
        <v>234</v>
      </c>
      <c r="F147" t="s">
        <v>236</v>
      </c>
      <c r="G147" t="s">
        <v>244</v>
      </c>
      <c r="H147" t="s">
        <v>246</v>
      </c>
      <c r="J147" s="4">
        <f t="shared" si="7"/>
        <v>3000</v>
      </c>
    </row>
    <row r="148" spans="1:10" x14ac:dyDescent="0.3">
      <c r="A148" t="s">
        <v>166</v>
      </c>
      <c r="B148" s="1">
        <v>45273</v>
      </c>
      <c r="C148" s="1" t="str">
        <f t="shared" si="6"/>
        <v>December</v>
      </c>
      <c r="D148" s="2" t="s">
        <v>28</v>
      </c>
      <c r="E148" s="2" t="s">
        <v>234</v>
      </c>
      <c r="F148" t="s">
        <v>238</v>
      </c>
      <c r="G148" t="s">
        <v>244</v>
      </c>
      <c r="H148" t="s">
        <v>18</v>
      </c>
      <c r="J148" s="4">
        <f t="shared" si="7"/>
        <v>5000</v>
      </c>
    </row>
    <row r="149" spans="1:10" x14ac:dyDescent="0.3">
      <c r="A149" t="s">
        <v>167</v>
      </c>
      <c r="B149" s="1">
        <v>45078</v>
      </c>
      <c r="C149" s="1" t="str">
        <f t="shared" si="6"/>
        <v>June</v>
      </c>
      <c r="D149" s="2" t="s">
        <v>28</v>
      </c>
      <c r="E149" s="2" t="s">
        <v>17</v>
      </c>
      <c r="F149" t="s">
        <v>238</v>
      </c>
      <c r="G149" t="s">
        <v>243</v>
      </c>
      <c r="H149" t="s">
        <v>246</v>
      </c>
      <c r="I149" t="s">
        <v>14</v>
      </c>
      <c r="J149" s="4">
        <f t="shared" si="7"/>
        <v>2500</v>
      </c>
    </row>
    <row r="150" spans="1:10" x14ac:dyDescent="0.3">
      <c r="A150" t="s">
        <v>168</v>
      </c>
      <c r="B150" s="1">
        <v>45259</v>
      </c>
      <c r="C150" s="1" t="str">
        <f t="shared" si="6"/>
        <v>November</v>
      </c>
      <c r="D150" s="2" t="s">
        <v>230</v>
      </c>
      <c r="E150" s="2" t="s">
        <v>235</v>
      </c>
      <c r="F150" t="s">
        <v>238</v>
      </c>
      <c r="G150" t="s">
        <v>244</v>
      </c>
      <c r="H150" t="s">
        <v>13</v>
      </c>
      <c r="J150" s="4">
        <f t="shared" si="7"/>
        <v>5000</v>
      </c>
    </row>
    <row r="151" spans="1:10" x14ac:dyDescent="0.3">
      <c r="A151" t="s">
        <v>169</v>
      </c>
      <c r="B151" s="1">
        <v>45138</v>
      </c>
      <c r="C151" s="1" t="str">
        <f t="shared" si="6"/>
        <v>July</v>
      </c>
      <c r="D151" s="2" t="s">
        <v>230</v>
      </c>
      <c r="E151" s="2" t="s">
        <v>234</v>
      </c>
      <c r="F151" t="s">
        <v>236</v>
      </c>
      <c r="G151" t="s">
        <v>244</v>
      </c>
      <c r="H151" t="s">
        <v>13</v>
      </c>
      <c r="J151" s="4">
        <f t="shared" si="7"/>
        <v>3000</v>
      </c>
    </row>
    <row r="152" spans="1:10" x14ac:dyDescent="0.3">
      <c r="A152" t="s">
        <v>170</v>
      </c>
      <c r="B152" s="1">
        <v>45209</v>
      </c>
      <c r="C152" s="1" t="str">
        <f t="shared" si="6"/>
        <v>October</v>
      </c>
      <c r="D152" s="2" t="s">
        <v>230</v>
      </c>
      <c r="E152" s="2" t="s">
        <v>234</v>
      </c>
      <c r="F152" t="s">
        <v>237</v>
      </c>
      <c r="G152" t="s">
        <v>243</v>
      </c>
      <c r="H152" t="s">
        <v>245</v>
      </c>
      <c r="J152" s="4">
        <f t="shared" si="7"/>
        <v>2000</v>
      </c>
    </row>
    <row r="153" spans="1:10" x14ac:dyDescent="0.3">
      <c r="A153" t="s">
        <v>171</v>
      </c>
      <c r="B153" s="1">
        <v>45102</v>
      </c>
      <c r="C153" s="1" t="str">
        <f t="shared" si="6"/>
        <v>June</v>
      </c>
      <c r="D153" s="2" t="s">
        <v>232</v>
      </c>
      <c r="E153" s="2" t="s">
        <v>234</v>
      </c>
      <c r="F153" t="s">
        <v>238</v>
      </c>
      <c r="G153" t="s">
        <v>242</v>
      </c>
      <c r="H153" t="s">
        <v>245</v>
      </c>
      <c r="I153" t="s">
        <v>14</v>
      </c>
      <c r="J153" s="4">
        <f t="shared" si="7"/>
        <v>3500</v>
      </c>
    </row>
    <row r="154" spans="1:10" x14ac:dyDescent="0.3">
      <c r="A154" t="s">
        <v>172</v>
      </c>
      <c r="B154" s="1">
        <v>45189</v>
      </c>
      <c r="C154" s="1" t="str">
        <f t="shared" si="6"/>
        <v>September</v>
      </c>
      <c r="D154" s="2" t="s">
        <v>28</v>
      </c>
      <c r="E154" s="2" t="s">
        <v>22</v>
      </c>
      <c r="F154" t="s">
        <v>238</v>
      </c>
      <c r="G154" t="s">
        <v>244</v>
      </c>
      <c r="H154" t="s">
        <v>13</v>
      </c>
      <c r="I154" t="s">
        <v>14</v>
      </c>
      <c r="J154" s="4">
        <f t="shared" si="7"/>
        <v>5000</v>
      </c>
    </row>
    <row r="155" spans="1:10" x14ac:dyDescent="0.3">
      <c r="A155" t="s">
        <v>173</v>
      </c>
      <c r="B155" s="1">
        <v>44939</v>
      </c>
      <c r="C155" s="1" t="str">
        <f t="shared" si="6"/>
        <v>January</v>
      </c>
      <c r="D155" s="2" t="s">
        <v>232</v>
      </c>
      <c r="E155" s="2" t="s">
        <v>17</v>
      </c>
      <c r="F155" t="s">
        <v>236</v>
      </c>
      <c r="G155" t="s">
        <v>242</v>
      </c>
      <c r="H155" t="s">
        <v>18</v>
      </c>
      <c r="I155" t="s">
        <v>14</v>
      </c>
      <c r="J155" s="4">
        <f t="shared" si="7"/>
        <v>2100</v>
      </c>
    </row>
    <row r="156" spans="1:10" x14ac:dyDescent="0.3">
      <c r="A156" t="s">
        <v>174</v>
      </c>
      <c r="B156" s="1">
        <v>44993</v>
      </c>
      <c r="C156" s="1" t="str">
        <f t="shared" si="6"/>
        <v>March</v>
      </c>
      <c r="D156" s="2" t="s">
        <v>28</v>
      </c>
      <c r="E156" s="2" t="s">
        <v>234</v>
      </c>
      <c r="F156" t="s">
        <v>237</v>
      </c>
      <c r="G156" t="s">
        <v>242</v>
      </c>
      <c r="H156" t="s">
        <v>246</v>
      </c>
      <c r="J156" s="4">
        <f t="shared" si="7"/>
        <v>2800</v>
      </c>
    </row>
    <row r="157" spans="1:10" x14ac:dyDescent="0.3">
      <c r="A157" t="s">
        <v>175</v>
      </c>
      <c r="B157" s="1">
        <v>45003</v>
      </c>
      <c r="C157" s="1" t="str">
        <f t="shared" si="6"/>
        <v>March</v>
      </c>
      <c r="D157" s="2" t="s">
        <v>231</v>
      </c>
      <c r="E157" s="2" t="s">
        <v>17</v>
      </c>
      <c r="F157" t="s">
        <v>238</v>
      </c>
      <c r="G157" t="s">
        <v>242</v>
      </c>
      <c r="H157" t="s">
        <v>18</v>
      </c>
      <c r="I157" t="s">
        <v>14</v>
      </c>
      <c r="J157" s="4">
        <f t="shared" si="7"/>
        <v>3500</v>
      </c>
    </row>
    <row r="158" spans="1:10" x14ac:dyDescent="0.3">
      <c r="A158" t="s">
        <v>176</v>
      </c>
      <c r="B158" s="1">
        <v>44986</v>
      </c>
      <c r="C158" s="1" t="str">
        <f t="shared" si="6"/>
        <v>March</v>
      </c>
      <c r="D158" s="2" t="s">
        <v>231</v>
      </c>
      <c r="E158" s="2" t="s">
        <v>22</v>
      </c>
      <c r="F158" t="s">
        <v>236</v>
      </c>
      <c r="G158" t="s">
        <v>242</v>
      </c>
      <c r="H158" t="s">
        <v>245</v>
      </c>
      <c r="I158" t="s">
        <v>14</v>
      </c>
      <c r="J158" s="4">
        <f t="shared" si="7"/>
        <v>2100</v>
      </c>
    </row>
    <row r="159" spans="1:10" x14ac:dyDescent="0.3">
      <c r="A159" t="s">
        <v>177</v>
      </c>
      <c r="B159" s="1">
        <v>45139</v>
      </c>
      <c r="C159" s="1" t="str">
        <f t="shared" si="6"/>
        <v>August</v>
      </c>
      <c r="D159" s="2" t="s">
        <v>230</v>
      </c>
      <c r="E159" s="2" t="s">
        <v>234</v>
      </c>
      <c r="F159" t="s">
        <v>240</v>
      </c>
      <c r="G159" t="s">
        <v>242</v>
      </c>
      <c r="H159" t="s">
        <v>13</v>
      </c>
      <c r="I159" t="s">
        <v>14</v>
      </c>
      <c r="J159" s="4">
        <f t="shared" si="7"/>
        <v>1400</v>
      </c>
    </row>
    <row r="160" spans="1:10" x14ac:dyDescent="0.3">
      <c r="A160" t="s">
        <v>178</v>
      </c>
      <c r="B160" s="1">
        <v>45035</v>
      </c>
      <c r="C160" s="1" t="str">
        <f t="shared" si="6"/>
        <v>April</v>
      </c>
      <c r="D160" s="2" t="s">
        <v>232</v>
      </c>
      <c r="E160" s="2" t="s">
        <v>234</v>
      </c>
      <c r="F160" t="s">
        <v>238</v>
      </c>
      <c r="G160" t="s">
        <v>244</v>
      </c>
      <c r="H160" t="s">
        <v>245</v>
      </c>
      <c r="I160" t="s">
        <v>14</v>
      </c>
      <c r="J160" s="4">
        <f t="shared" si="7"/>
        <v>5000</v>
      </c>
    </row>
    <row r="161" spans="1:10" x14ac:dyDescent="0.3">
      <c r="A161" t="s">
        <v>179</v>
      </c>
      <c r="B161" s="1">
        <v>45117</v>
      </c>
      <c r="C161" s="1" t="str">
        <f t="shared" si="6"/>
        <v>July</v>
      </c>
      <c r="D161" s="2" t="s">
        <v>231</v>
      </c>
      <c r="E161" s="2" t="s">
        <v>234</v>
      </c>
      <c r="F161" t="s">
        <v>239</v>
      </c>
      <c r="G161" t="s">
        <v>243</v>
      </c>
      <c r="H161" t="s">
        <v>13</v>
      </c>
      <c r="J161" s="4">
        <f t="shared" si="7"/>
        <v>500</v>
      </c>
    </row>
    <row r="162" spans="1:10" x14ac:dyDescent="0.3">
      <c r="A162" t="s">
        <v>180</v>
      </c>
      <c r="B162" s="1">
        <v>45195</v>
      </c>
      <c r="C162" s="1" t="str">
        <f t="shared" si="6"/>
        <v>September</v>
      </c>
      <c r="D162" s="2" t="s">
        <v>232</v>
      </c>
      <c r="E162" s="2" t="s">
        <v>22</v>
      </c>
      <c r="F162" t="s">
        <v>236</v>
      </c>
      <c r="G162" t="s">
        <v>244</v>
      </c>
      <c r="H162" t="s">
        <v>18</v>
      </c>
      <c r="J162" s="4">
        <f t="shared" si="7"/>
        <v>3000</v>
      </c>
    </row>
    <row r="163" spans="1:10" x14ac:dyDescent="0.3">
      <c r="A163" t="s">
        <v>181</v>
      </c>
      <c r="B163" s="1">
        <v>45004</v>
      </c>
      <c r="C163" s="1" t="str">
        <f t="shared" si="6"/>
        <v>March</v>
      </c>
      <c r="D163" s="2" t="s">
        <v>232</v>
      </c>
      <c r="E163" s="2" t="s">
        <v>22</v>
      </c>
      <c r="F163" t="s">
        <v>236</v>
      </c>
      <c r="G163" t="s">
        <v>244</v>
      </c>
      <c r="H163" t="s">
        <v>18</v>
      </c>
      <c r="I163" t="s">
        <v>14</v>
      </c>
      <c r="J163" s="4">
        <f t="shared" si="7"/>
        <v>3000</v>
      </c>
    </row>
    <row r="164" spans="1:10" x14ac:dyDescent="0.3">
      <c r="A164" t="s">
        <v>182</v>
      </c>
      <c r="B164" s="1">
        <v>44975</v>
      </c>
      <c r="C164" s="1" t="str">
        <f t="shared" si="6"/>
        <v>February</v>
      </c>
      <c r="D164" s="2" t="s">
        <v>232</v>
      </c>
      <c r="E164" s="2" t="s">
        <v>22</v>
      </c>
      <c r="F164" t="s">
        <v>239</v>
      </c>
      <c r="G164" t="s">
        <v>242</v>
      </c>
      <c r="H164" t="s">
        <v>13</v>
      </c>
      <c r="I164" t="s">
        <v>14</v>
      </c>
      <c r="J164" s="4">
        <f t="shared" si="7"/>
        <v>700</v>
      </c>
    </row>
    <row r="165" spans="1:10" x14ac:dyDescent="0.3">
      <c r="A165" t="s">
        <v>183</v>
      </c>
      <c r="B165" s="1">
        <v>45097</v>
      </c>
      <c r="C165" s="1" t="str">
        <f t="shared" si="6"/>
        <v>June</v>
      </c>
      <c r="D165" s="2" t="s">
        <v>230</v>
      </c>
      <c r="E165" s="2" t="s">
        <v>17</v>
      </c>
      <c r="F165" t="s">
        <v>237</v>
      </c>
      <c r="G165" t="s">
        <v>243</v>
      </c>
      <c r="H165" t="s">
        <v>18</v>
      </c>
      <c r="I165" t="s">
        <v>14</v>
      </c>
      <c r="J165" s="4">
        <f t="shared" si="7"/>
        <v>2000</v>
      </c>
    </row>
    <row r="166" spans="1:10" x14ac:dyDescent="0.3">
      <c r="A166" t="s">
        <v>184</v>
      </c>
      <c r="B166" s="1">
        <v>45227</v>
      </c>
      <c r="C166" s="1" t="str">
        <f t="shared" si="6"/>
        <v>October</v>
      </c>
      <c r="D166" s="2" t="s">
        <v>230</v>
      </c>
      <c r="E166" s="2" t="s">
        <v>235</v>
      </c>
      <c r="F166" t="s">
        <v>237</v>
      </c>
      <c r="G166" t="s">
        <v>242</v>
      </c>
      <c r="H166" t="s">
        <v>246</v>
      </c>
      <c r="J166" s="4">
        <f t="shared" si="7"/>
        <v>2800</v>
      </c>
    </row>
    <row r="167" spans="1:10" x14ac:dyDescent="0.3">
      <c r="A167" t="s">
        <v>185</v>
      </c>
      <c r="B167" s="1">
        <v>45123</v>
      </c>
      <c r="C167" s="1" t="str">
        <f t="shared" ref="C167:C198" si="8">TEXT(B167,"MMMM")</f>
        <v>July</v>
      </c>
      <c r="D167" s="2" t="s">
        <v>231</v>
      </c>
      <c r="E167" s="2" t="s">
        <v>17</v>
      </c>
      <c r="F167" t="s">
        <v>238</v>
      </c>
      <c r="G167" t="s">
        <v>242</v>
      </c>
      <c r="H167" t="s">
        <v>245</v>
      </c>
      <c r="I167" t="s">
        <v>14</v>
      </c>
      <c r="J167" s="4">
        <f t="shared" si="7"/>
        <v>3500</v>
      </c>
    </row>
    <row r="168" spans="1:10" x14ac:dyDescent="0.3">
      <c r="A168" t="s">
        <v>186</v>
      </c>
      <c r="B168" s="1">
        <v>45189</v>
      </c>
      <c r="C168" s="1" t="str">
        <f t="shared" si="8"/>
        <v>September</v>
      </c>
      <c r="D168" s="2" t="s">
        <v>232</v>
      </c>
      <c r="E168" s="2" t="s">
        <v>235</v>
      </c>
      <c r="F168" t="s">
        <v>238</v>
      </c>
      <c r="G168" t="s">
        <v>242</v>
      </c>
      <c r="H168" t="s">
        <v>13</v>
      </c>
      <c r="J168" s="4">
        <f t="shared" si="7"/>
        <v>3500</v>
      </c>
    </row>
    <row r="169" spans="1:10" x14ac:dyDescent="0.3">
      <c r="A169" t="s">
        <v>187</v>
      </c>
      <c r="B169" s="1">
        <v>45243</v>
      </c>
      <c r="C169" s="1" t="str">
        <f t="shared" si="8"/>
        <v>November</v>
      </c>
      <c r="D169" s="2" t="s">
        <v>230</v>
      </c>
      <c r="E169" s="2" t="s">
        <v>234</v>
      </c>
      <c r="F169" t="s">
        <v>239</v>
      </c>
      <c r="G169" t="s">
        <v>242</v>
      </c>
      <c r="H169" t="s">
        <v>246</v>
      </c>
      <c r="I169" t="s">
        <v>14</v>
      </c>
      <c r="J169" s="4">
        <f t="shared" si="7"/>
        <v>700</v>
      </c>
    </row>
    <row r="170" spans="1:10" x14ac:dyDescent="0.3">
      <c r="A170" t="s">
        <v>188</v>
      </c>
      <c r="B170" s="1">
        <v>45157</v>
      </c>
      <c r="C170" s="1" t="str">
        <f t="shared" si="8"/>
        <v>August</v>
      </c>
      <c r="D170" s="2" t="s">
        <v>231</v>
      </c>
      <c r="E170" s="2" t="s">
        <v>234</v>
      </c>
      <c r="F170" t="s">
        <v>239</v>
      </c>
      <c r="G170" t="s">
        <v>242</v>
      </c>
      <c r="H170" t="s">
        <v>18</v>
      </c>
      <c r="I170" t="s">
        <v>14</v>
      </c>
      <c r="J170" s="4">
        <f t="shared" si="7"/>
        <v>700</v>
      </c>
    </row>
    <row r="171" spans="1:10" x14ac:dyDescent="0.3">
      <c r="A171" t="s">
        <v>189</v>
      </c>
      <c r="B171" s="1">
        <v>45279</v>
      </c>
      <c r="C171" s="1" t="str">
        <f t="shared" si="8"/>
        <v>December</v>
      </c>
      <c r="D171" s="2" t="s">
        <v>230</v>
      </c>
      <c r="E171" s="2" t="s">
        <v>234</v>
      </c>
      <c r="F171" t="s">
        <v>240</v>
      </c>
      <c r="G171" t="s">
        <v>244</v>
      </c>
      <c r="H171" t="s">
        <v>246</v>
      </c>
      <c r="J171" s="4">
        <f t="shared" si="7"/>
        <v>2000</v>
      </c>
    </row>
    <row r="172" spans="1:10" x14ac:dyDescent="0.3">
      <c r="A172" t="s">
        <v>190</v>
      </c>
      <c r="B172" s="1">
        <v>45273</v>
      </c>
      <c r="C172" s="1" t="str">
        <f t="shared" si="8"/>
        <v>December</v>
      </c>
      <c r="D172" s="2" t="s">
        <v>232</v>
      </c>
      <c r="E172" s="2" t="s">
        <v>234</v>
      </c>
      <c r="F172" t="s">
        <v>240</v>
      </c>
      <c r="G172" t="s">
        <v>244</v>
      </c>
      <c r="H172" t="s">
        <v>246</v>
      </c>
      <c r="I172" t="s">
        <v>14</v>
      </c>
      <c r="J172" s="4">
        <f t="shared" si="7"/>
        <v>2000</v>
      </c>
    </row>
    <row r="173" spans="1:10" x14ac:dyDescent="0.3">
      <c r="A173" t="s">
        <v>191</v>
      </c>
      <c r="B173" s="1">
        <v>45250</v>
      </c>
      <c r="C173" s="1" t="str">
        <f t="shared" si="8"/>
        <v>November</v>
      </c>
      <c r="D173" s="2" t="s">
        <v>231</v>
      </c>
      <c r="E173" s="2" t="s">
        <v>235</v>
      </c>
      <c r="F173" t="s">
        <v>236</v>
      </c>
      <c r="G173" t="s">
        <v>244</v>
      </c>
      <c r="H173" t="s">
        <v>246</v>
      </c>
      <c r="I173" t="s">
        <v>14</v>
      </c>
      <c r="J173" s="4">
        <f t="shared" si="7"/>
        <v>3000</v>
      </c>
    </row>
    <row r="174" spans="1:10" x14ac:dyDescent="0.3">
      <c r="A174" t="s">
        <v>192</v>
      </c>
      <c r="B174" s="1">
        <v>44956</v>
      </c>
      <c r="C174" s="1" t="str">
        <f t="shared" si="8"/>
        <v>January</v>
      </c>
      <c r="D174" s="2" t="s">
        <v>232</v>
      </c>
      <c r="E174" s="2" t="s">
        <v>235</v>
      </c>
      <c r="F174" t="s">
        <v>237</v>
      </c>
      <c r="G174" t="s">
        <v>244</v>
      </c>
      <c r="H174" t="s">
        <v>13</v>
      </c>
      <c r="J174" s="4">
        <f t="shared" si="7"/>
        <v>4000</v>
      </c>
    </row>
    <row r="175" spans="1:10" x14ac:dyDescent="0.3">
      <c r="A175" t="s">
        <v>193</v>
      </c>
      <c r="B175" s="1">
        <v>45123</v>
      </c>
      <c r="C175" s="1" t="str">
        <f t="shared" si="8"/>
        <v>July</v>
      </c>
      <c r="D175" s="2" t="s">
        <v>232</v>
      </c>
      <c r="E175" s="2" t="s">
        <v>22</v>
      </c>
      <c r="F175" t="s">
        <v>240</v>
      </c>
      <c r="G175" t="s">
        <v>242</v>
      </c>
      <c r="H175" t="s">
        <v>18</v>
      </c>
      <c r="I175" t="s">
        <v>14</v>
      </c>
      <c r="J175" s="4">
        <f t="shared" si="7"/>
        <v>1400</v>
      </c>
    </row>
    <row r="176" spans="1:10" x14ac:dyDescent="0.3">
      <c r="A176" t="s">
        <v>194</v>
      </c>
      <c r="B176" s="1">
        <v>45202</v>
      </c>
      <c r="C176" s="1" t="str">
        <f t="shared" si="8"/>
        <v>October</v>
      </c>
      <c r="D176" s="2" t="s">
        <v>231</v>
      </c>
      <c r="E176" s="2" t="s">
        <v>234</v>
      </c>
      <c r="F176" t="s">
        <v>238</v>
      </c>
      <c r="G176" t="s">
        <v>243</v>
      </c>
      <c r="H176" t="s">
        <v>246</v>
      </c>
      <c r="J176" s="4">
        <f t="shared" si="7"/>
        <v>2500</v>
      </c>
    </row>
    <row r="177" spans="1:10" x14ac:dyDescent="0.3">
      <c r="A177" t="s">
        <v>195</v>
      </c>
      <c r="B177" s="1">
        <v>45290</v>
      </c>
      <c r="C177" s="1" t="str">
        <f t="shared" si="8"/>
        <v>December</v>
      </c>
      <c r="D177" s="2" t="s">
        <v>28</v>
      </c>
      <c r="E177" s="2" t="s">
        <v>22</v>
      </c>
      <c r="F177" t="s">
        <v>236</v>
      </c>
      <c r="G177" t="s">
        <v>244</v>
      </c>
      <c r="H177" t="s">
        <v>13</v>
      </c>
      <c r="J177" s="4">
        <f t="shared" si="7"/>
        <v>3000</v>
      </c>
    </row>
    <row r="178" spans="1:10" x14ac:dyDescent="0.3">
      <c r="A178" t="s">
        <v>196</v>
      </c>
      <c r="B178" s="1">
        <v>45016</v>
      </c>
      <c r="C178" s="1" t="str">
        <f t="shared" si="8"/>
        <v>March</v>
      </c>
      <c r="D178" s="2" t="s">
        <v>232</v>
      </c>
      <c r="E178" s="2" t="s">
        <v>235</v>
      </c>
      <c r="F178" t="s">
        <v>239</v>
      </c>
      <c r="G178" t="s">
        <v>242</v>
      </c>
      <c r="H178" t="s">
        <v>246</v>
      </c>
      <c r="I178" t="s">
        <v>14</v>
      </c>
      <c r="J178" s="4">
        <f t="shared" si="7"/>
        <v>700</v>
      </c>
    </row>
    <row r="179" spans="1:10" x14ac:dyDescent="0.3">
      <c r="A179" t="s">
        <v>197</v>
      </c>
      <c r="B179" s="1">
        <v>45012</v>
      </c>
      <c r="C179" s="1" t="str">
        <f t="shared" si="8"/>
        <v>March</v>
      </c>
      <c r="D179" s="2" t="s">
        <v>232</v>
      </c>
      <c r="E179" s="2" t="s">
        <v>17</v>
      </c>
      <c r="F179" t="s">
        <v>237</v>
      </c>
      <c r="G179" t="s">
        <v>242</v>
      </c>
      <c r="H179" t="s">
        <v>13</v>
      </c>
      <c r="I179" t="s">
        <v>14</v>
      </c>
      <c r="J179" s="4">
        <f t="shared" si="7"/>
        <v>2800</v>
      </c>
    </row>
    <row r="180" spans="1:10" x14ac:dyDescent="0.3">
      <c r="A180" t="s">
        <v>198</v>
      </c>
      <c r="B180" s="1">
        <v>45212</v>
      </c>
      <c r="C180" s="1" t="str">
        <f t="shared" si="8"/>
        <v>October</v>
      </c>
      <c r="D180" s="2" t="s">
        <v>231</v>
      </c>
      <c r="E180" s="2" t="s">
        <v>17</v>
      </c>
      <c r="F180" t="s">
        <v>236</v>
      </c>
      <c r="G180" t="s">
        <v>242</v>
      </c>
      <c r="H180" t="s">
        <v>18</v>
      </c>
      <c r="J180" s="4">
        <f t="shared" si="7"/>
        <v>2100</v>
      </c>
    </row>
    <row r="181" spans="1:10" x14ac:dyDescent="0.3">
      <c r="A181" t="s">
        <v>199</v>
      </c>
      <c r="B181" s="1">
        <v>45068</v>
      </c>
      <c r="C181" s="1" t="str">
        <f t="shared" si="8"/>
        <v>May</v>
      </c>
      <c r="D181" s="2" t="s">
        <v>28</v>
      </c>
      <c r="E181" s="2" t="s">
        <v>234</v>
      </c>
      <c r="F181" t="s">
        <v>239</v>
      </c>
      <c r="G181" t="s">
        <v>244</v>
      </c>
      <c r="H181" t="s">
        <v>13</v>
      </c>
      <c r="J181" s="4">
        <f t="shared" si="7"/>
        <v>1000</v>
      </c>
    </row>
    <row r="182" spans="1:10" x14ac:dyDescent="0.3">
      <c r="A182" t="s">
        <v>200</v>
      </c>
      <c r="B182" s="1">
        <v>45269</v>
      </c>
      <c r="C182" s="1" t="str">
        <f t="shared" si="8"/>
        <v>December</v>
      </c>
      <c r="D182" s="2" t="s">
        <v>232</v>
      </c>
      <c r="E182" s="2" t="s">
        <v>17</v>
      </c>
      <c r="F182" t="s">
        <v>237</v>
      </c>
      <c r="G182" t="s">
        <v>243</v>
      </c>
      <c r="H182" t="s">
        <v>18</v>
      </c>
      <c r="I182" t="s">
        <v>14</v>
      </c>
      <c r="J182" s="4">
        <f t="shared" si="7"/>
        <v>2000</v>
      </c>
    </row>
    <row r="183" spans="1:10" x14ac:dyDescent="0.3">
      <c r="A183" t="s">
        <v>201</v>
      </c>
      <c r="B183" s="1">
        <v>45010</v>
      </c>
      <c r="C183" s="1" t="str">
        <f t="shared" si="8"/>
        <v>March</v>
      </c>
      <c r="D183" s="2" t="s">
        <v>230</v>
      </c>
      <c r="E183" s="2" t="s">
        <v>17</v>
      </c>
      <c r="F183" t="s">
        <v>236</v>
      </c>
      <c r="G183" t="s">
        <v>244</v>
      </c>
      <c r="H183" t="s">
        <v>245</v>
      </c>
      <c r="I183" t="s">
        <v>14</v>
      </c>
      <c r="J183" s="4">
        <f t="shared" si="7"/>
        <v>3000</v>
      </c>
    </row>
    <row r="184" spans="1:10" x14ac:dyDescent="0.3">
      <c r="A184" t="s">
        <v>202</v>
      </c>
      <c r="B184" s="1">
        <v>45278</v>
      </c>
      <c r="C184" s="1" t="str">
        <f t="shared" si="8"/>
        <v>December</v>
      </c>
      <c r="D184" s="2" t="s">
        <v>232</v>
      </c>
      <c r="E184" s="2" t="s">
        <v>17</v>
      </c>
      <c r="F184" t="s">
        <v>238</v>
      </c>
      <c r="G184" t="s">
        <v>243</v>
      </c>
      <c r="H184" t="s">
        <v>18</v>
      </c>
      <c r="J184" s="4">
        <f t="shared" si="7"/>
        <v>2500</v>
      </c>
    </row>
    <row r="185" spans="1:10" x14ac:dyDescent="0.3">
      <c r="A185" t="s">
        <v>203</v>
      </c>
      <c r="B185" s="1">
        <v>45287</v>
      </c>
      <c r="C185" s="1" t="str">
        <f t="shared" si="8"/>
        <v>December</v>
      </c>
      <c r="D185" s="2" t="s">
        <v>231</v>
      </c>
      <c r="E185" s="2" t="s">
        <v>22</v>
      </c>
      <c r="F185" t="s">
        <v>236</v>
      </c>
      <c r="G185" t="s">
        <v>244</v>
      </c>
      <c r="H185" t="s">
        <v>245</v>
      </c>
      <c r="I185" t="s">
        <v>14</v>
      </c>
      <c r="J185" s="4">
        <f t="shared" si="7"/>
        <v>3000</v>
      </c>
    </row>
    <row r="186" spans="1:10" x14ac:dyDescent="0.3">
      <c r="A186" t="s">
        <v>204</v>
      </c>
      <c r="B186" s="1">
        <v>45131</v>
      </c>
      <c r="C186" s="1" t="str">
        <f t="shared" si="8"/>
        <v>July</v>
      </c>
      <c r="D186" s="2" t="s">
        <v>232</v>
      </c>
      <c r="E186" s="2" t="s">
        <v>22</v>
      </c>
      <c r="F186" t="s">
        <v>239</v>
      </c>
      <c r="G186" t="s">
        <v>242</v>
      </c>
      <c r="H186" t="s">
        <v>18</v>
      </c>
      <c r="I186" t="s">
        <v>14</v>
      </c>
      <c r="J186" s="4">
        <f t="shared" si="7"/>
        <v>700</v>
      </c>
    </row>
    <row r="187" spans="1:10" x14ac:dyDescent="0.3">
      <c r="A187" t="s">
        <v>205</v>
      </c>
      <c r="B187" s="1">
        <v>44973</v>
      </c>
      <c r="C187" s="1" t="str">
        <f t="shared" si="8"/>
        <v>February</v>
      </c>
      <c r="D187" s="2" t="s">
        <v>230</v>
      </c>
      <c r="E187" s="2" t="s">
        <v>234</v>
      </c>
      <c r="F187" t="s">
        <v>238</v>
      </c>
      <c r="G187" t="s">
        <v>244</v>
      </c>
      <c r="H187" t="s">
        <v>13</v>
      </c>
      <c r="I187" t="s">
        <v>14</v>
      </c>
      <c r="J187" s="4">
        <f t="shared" si="7"/>
        <v>5000</v>
      </c>
    </row>
    <row r="188" spans="1:10" x14ac:dyDescent="0.3">
      <c r="A188" t="s">
        <v>206</v>
      </c>
      <c r="B188" s="1">
        <v>45147</v>
      </c>
      <c r="C188" s="1" t="str">
        <f t="shared" si="8"/>
        <v>August</v>
      </c>
      <c r="D188" s="2" t="s">
        <v>230</v>
      </c>
      <c r="E188" s="2" t="s">
        <v>22</v>
      </c>
      <c r="F188" t="s">
        <v>237</v>
      </c>
      <c r="G188" t="s">
        <v>244</v>
      </c>
      <c r="H188" t="s">
        <v>246</v>
      </c>
      <c r="I188" t="s">
        <v>14</v>
      </c>
      <c r="J188" s="4">
        <f t="shared" si="7"/>
        <v>4000</v>
      </c>
    </row>
    <row r="189" spans="1:10" x14ac:dyDescent="0.3">
      <c r="A189" t="s">
        <v>207</v>
      </c>
      <c r="B189" s="1">
        <v>45036</v>
      </c>
      <c r="C189" s="1" t="str">
        <f t="shared" si="8"/>
        <v>April</v>
      </c>
      <c r="D189" s="2" t="s">
        <v>231</v>
      </c>
      <c r="E189" s="2" t="s">
        <v>235</v>
      </c>
      <c r="F189" t="s">
        <v>238</v>
      </c>
      <c r="G189" t="s">
        <v>244</v>
      </c>
      <c r="H189" t="s">
        <v>18</v>
      </c>
      <c r="I189" t="s">
        <v>14</v>
      </c>
      <c r="J189" s="4">
        <f t="shared" si="7"/>
        <v>5000</v>
      </c>
    </row>
    <row r="190" spans="1:10" x14ac:dyDescent="0.3">
      <c r="A190" t="s">
        <v>208</v>
      </c>
      <c r="B190" s="1">
        <v>45038</v>
      </c>
      <c r="C190" s="1" t="str">
        <f t="shared" si="8"/>
        <v>April</v>
      </c>
      <c r="D190" s="2" t="s">
        <v>230</v>
      </c>
      <c r="E190" s="2" t="s">
        <v>234</v>
      </c>
      <c r="F190" t="s">
        <v>238</v>
      </c>
      <c r="G190" t="s">
        <v>242</v>
      </c>
      <c r="H190" t="s">
        <v>246</v>
      </c>
      <c r="I190" t="s">
        <v>14</v>
      </c>
      <c r="J190" s="4">
        <f t="shared" si="7"/>
        <v>3500</v>
      </c>
    </row>
    <row r="191" spans="1:10" x14ac:dyDescent="0.3">
      <c r="A191" t="s">
        <v>209</v>
      </c>
      <c r="B191" s="1">
        <v>44985</v>
      </c>
      <c r="C191" s="1" t="str">
        <f t="shared" si="8"/>
        <v>February</v>
      </c>
      <c r="D191" s="2" t="s">
        <v>230</v>
      </c>
      <c r="E191" s="2" t="s">
        <v>234</v>
      </c>
      <c r="F191" t="s">
        <v>236</v>
      </c>
      <c r="G191" t="s">
        <v>244</v>
      </c>
      <c r="H191" t="s">
        <v>13</v>
      </c>
      <c r="J191" s="4">
        <f t="shared" si="7"/>
        <v>3000</v>
      </c>
    </row>
    <row r="192" spans="1:10" x14ac:dyDescent="0.3">
      <c r="A192" t="s">
        <v>210</v>
      </c>
      <c r="B192" s="1">
        <v>45040</v>
      </c>
      <c r="C192" s="1" t="str">
        <f t="shared" si="8"/>
        <v>April</v>
      </c>
      <c r="D192" s="2" t="s">
        <v>231</v>
      </c>
      <c r="E192" s="2" t="s">
        <v>22</v>
      </c>
      <c r="F192" t="s">
        <v>236</v>
      </c>
      <c r="G192" t="s">
        <v>243</v>
      </c>
      <c r="H192" t="s">
        <v>246</v>
      </c>
      <c r="I192" t="s">
        <v>14</v>
      </c>
      <c r="J192" s="4">
        <f t="shared" si="7"/>
        <v>1500</v>
      </c>
    </row>
    <row r="193" spans="1:10" x14ac:dyDescent="0.3">
      <c r="A193" t="s">
        <v>211</v>
      </c>
      <c r="B193" s="1">
        <v>45079</v>
      </c>
      <c r="C193" s="1" t="str">
        <f t="shared" si="8"/>
        <v>June</v>
      </c>
      <c r="D193" s="2" t="s">
        <v>28</v>
      </c>
      <c r="E193" s="2" t="s">
        <v>17</v>
      </c>
      <c r="F193" t="s">
        <v>236</v>
      </c>
      <c r="G193" t="s">
        <v>242</v>
      </c>
      <c r="H193" t="s">
        <v>245</v>
      </c>
      <c r="I193" t="s">
        <v>14</v>
      </c>
      <c r="J193" s="4">
        <f t="shared" si="7"/>
        <v>2100</v>
      </c>
    </row>
    <row r="194" spans="1:10" x14ac:dyDescent="0.3">
      <c r="A194" t="s">
        <v>212</v>
      </c>
      <c r="B194" s="1">
        <v>44975</v>
      </c>
      <c r="C194" s="1" t="str">
        <f t="shared" si="8"/>
        <v>February</v>
      </c>
      <c r="D194" s="2" t="s">
        <v>230</v>
      </c>
      <c r="E194" s="2" t="s">
        <v>235</v>
      </c>
      <c r="F194" t="s">
        <v>238</v>
      </c>
      <c r="G194" t="s">
        <v>244</v>
      </c>
      <c r="H194" t="s">
        <v>245</v>
      </c>
      <c r="I194" t="s">
        <v>14</v>
      </c>
      <c r="J194" s="4">
        <f t="shared" si="7"/>
        <v>5000</v>
      </c>
    </row>
    <row r="195" spans="1:10" x14ac:dyDescent="0.3">
      <c r="A195" t="s">
        <v>213</v>
      </c>
      <c r="B195" s="1">
        <v>45163</v>
      </c>
      <c r="C195" s="1" t="str">
        <f t="shared" si="8"/>
        <v>August</v>
      </c>
      <c r="D195" s="2" t="s">
        <v>231</v>
      </c>
      <c r="E195" s="2" t="s">
        <v>235</v>
      </c>
      <c r="F195" t="s">
        <v>236</v>
      </c>
      <c r="G195" t="s">
        <v>244</v>
      </c>
      <c r="H195" t="s">
        <v>246</v>
      </c>
      <c r="I195" t="s">
        <v>14</v>
      </c>
      <c r="J195" s="4">
        <f t="shared" si="7"/>
        <v>3000</v>
      </c>
    </row>
    <row r="196" spans="1:10" x14ac:dyDescent="0.3">
      <c r="A196" t="s">
        <v>214</v>
      </c>
      <c r="B196" s="1">
        <v>45093</v>
      </c>
      <c r="C196" s="1" t="str">
        <f t="shared" si="8"/>
        <v>June</v>
      </c>
      <c r="D196" s="2" t="s">
        <v>28</v>
      </c>
      <c r="E196" s="2" t="s">
        <v>22</v>
      </c>
      <c r="F196" t="s">
        <v>239</v>
      </c>
      <c r="G196" t="s">
        <v>242</v>
      </c>
      <c r="H196" t="s">
        <v>245</v>
      </c>
      <c r="I196" t="s">
        <v>14</v>
      </c>
      <c r="J196" s="4">
        <f t="shared" si="7"/>
        <v>700</v>
      </c>
    </row>
    <row r="197" spans="1:10" x14ac:dyDescent="0.3">
      <c r="A197" t="s">
        <v>215</v>
      </c>
      <c r="B197" s="1">
        <v>44981</v>
      </c>
      <c r="C197" s="1" t="str">
        <f t="shared" si="8"/>
        <v>February</v>
      </c>
      <c r="D197" s="2" t="s">
        <v>231</v>
      </c>
      <c r="E197" s="2" t="s">
        <v>235</v>
      </c>
      <c r="F197" t="s">
        <v>236</v>
      </c>
      <c r="G197" t="s">
        <v>244</v>
      </c>
      <c r="H197" t="s">
        <v>245</v>
      </c>
      <c r="I197" t="s">
        <v>14</v>
      </c>
      <c r="J197" s="4">
        <f t="shared" si="7"/>
        <v>3000</v>
      </c>
    </row>
    <row r="198" spans="1:10" x14ac:dyDescent="0.3">
      <c r="A198" t="s">
        <v>216</v>
      </c>
      <c r="B198" s="1">
        <v>45130</v>
      </c>
      <c r="C198" s="1" t="str">
        <f t="shared" si="8"/>
        <v>July</v>
      </c>
      <c r="D198" s="2" t="s">
        <v>230</v>
      </c>
      <c r="E198" s="2" t="s">
        <v>17</v>
      </c>
      <c r="F198" t="s">
        <v>236</v>
      </c>
      <c r="G198" t="s">
        <v>244</v>
      </c>
      <c r="H198" t="s">
        <v>13</v>
      </c>
      <c r="J198" s="4">
        <f t="shared" si="7"/>
        <v>3000</v>
      </c>
    </row>
    <row r="199" spans="1:10" x14ac:dyDescent="0.3">
      <c r="A199" t="s">
        <v>217</v>
      </c>
      <c r="B199" s="1">
        <v>44997</v>
      </c>
      <c r="C199" s="1" t="str">
        <f t="shared" ref="C199:C206" si="9">TEXT(B199,"MMMM")</f>
        <v>March</v>
      </c>
      <c r="D199" s="2" t="s">
        <v>232</v>
      </c>
      <c r="E199" s="2" t="s">
        <v>17</v>
      </c>
      <c r="F199" t="s">
        <v>236</v>
      </c>
      <c r="G199" t="s">
        <v>242</v>
      </c>
      <c r="H199" t="s">
        <v>13</v>
      </c>
      <c r="I199" t="s">
        <v>14</v>
      </c>
      <c r="J199" s="4">
        <f t="shared" si="7"/>
        <v>2100</v>
      </c>
    </row>
    <row r="200" spans="1:10" x14ac:dyDescent="0.3">
      <c r="A200" t="s">
        <v>218</v>
      </c>
      <c r="B200" s="1">
        <v>45159</v>
      </c>
      <c r="C200" s="1" t="str">
        <f t="shared" si="9"/>
        <v>August</v>
      </c>
      <c r="D200" s="2" t="s">
        <v>28</v>
      </c>
      <c r="E200" s="2" t="s">
        <v>17</v>
      </c>
      <c r="F200" t="s">
        <v>238</v>
      </c>
      <c r="G200" t="s">
        <v>244</v>
      </c>
      <c r="H200" t="s">
        <v>246</v>
      </c>
      <c r="I200" t="s">
        <v>14</v>
      </c>
      <c r="J200" s="4">
        <f t="shared" ref="J200:J206" si="10">F200*G200</f>
        <v>5000</v>
      </c>
    </row>
    <row r="201" spans="1:10" x14ac:dyDescent="0.3">
      <c r="A201" t="s">
        <v>219</v>
      </c>
      <c r="B201" s="1">
        <v>45059</v>
      </c>
      <c r="C201" s="1" t="str">
        <f t="shared" si="9"/>
        <v>May</v>
      </c>
      <c r="D201" s="2" t="s">
        <v>232</v>
      </c>
      <c r="E201" s="2" t="s">
        <v>17</v>
      </c>
      <c r="F201" t="s">
        <v>240</v>
      </c>
      <c r="G201" t="s">
        <v>242</v>
      </c>
      <c r="H201" t="s">
        <v>246</v>
      </c>
      <c r="J201" s="4">
        <f t="shared" si="10"/>
        <v>1400</v>
      </c>
    </row>
    <row r="202" spans="1:10" x14ac:dyDescent="0.3">
      <c r="A202" t="s">
        <v>220</v>
      </c>
      <c r="B202" s="1">
        <v>45177</v>
      </c>
      <c r="C202" s="1" t="str">
        <f t="shared" si="9"/>
        <v>September</v>
      </c>
      <c r="D202" s="2" t="s">
        <v>231</v>
      </c>
      <c r="E202" s="2" t="s">
        <v>17</v>
      </c>
      <c r="F202" t="s">
        <v>237</v>
      </c>
      <c r="G202" t="s">
        <v>242</v>
      </c>
      <c r="H202" t="s">
        <v>246</v>
      </c>
      <c r="J202" s="4">
        <f t="shared" si="10"/>
        <v>2800</v>
      </c>
    </row>
    <row r="203" spans="1:10" x14ac:dyDescent="0.3">
      <c r="A203" t="s">
        <v>221</v>
      </c>
      <c r="B203" s="1">
        <v>45216</v>
      </c>
      <c r="C203" s="1" t="str">
        <f t="shared" si="9"/>
        <v>October</v>
      </c>
      <c r="D203" s="2" t="s">
        <v>28</v>
      </c>
      <c r="E203" s="2" t="s">
        <v>17</v>
      </c>
      <c r="F203" t="s">
        <v>238</v>
      </c>
      <c r="G203" t="s">
        <v>244</v>
      </c>
      <c r="H203" t="s">
        <v>245</v>
      </c>
      <c r="J203" s="4">
        <f t="shared" si="10"/>
        <v>5000</v>
      </c>
    </row>
    <row r="204" spans="1:10" x14ac:dyDescent="0.3">
      <c r="A204" t="s">
        <v>222</v>
      </c>
      <c r="B204" s="1">
        <v>44982</v>
      </c>
      <c r="C204" s="1" t="str">
        <f t="shared" si="9"/>
        <v>February</v>
      </c>
      <c r="D204" s="2" t="s">
        <v>28</v>
      </c>
      <c r="E204" s="2" t="s">
        <v>17</v>
      </c>
      <c r="F204" t="s">
        <v>238</v>
      </c>
      <c r="G204" t="s">
        <v>243</v>
      </c>
      <c r="H204" t="s">
        <v>245</v>
      </c>
      <c r="I204" t="s">
        <v>14</v>
      </c>
      <c r="J204" s="4">
        <f t="shared" si="10"/>
        <v>2500</v>
      </c>
    </row>
    <row r="205" spans="1:10" x14ac:dyDescent="0.3">
      <c r="A205" t="s">
        <v>223</v>
      </c>
      <c r="B205" s="1">
        <v>45226</v>
      </c>
      <c r="C205" s="1" t="str">
        <f t="shared" si="9"/>
        <v>October</v>
      </c>
      <c r="D205" s="2" t="s">
        <v>230</v>
      </c>
      <c r="E205" s="2" t="s">
        <v>234</v>
      </c>
      <c r="F205" t="s">
        <v>236</v>
      </c>
      <c r="G205" t="s">
        <v>242</v>
      </c>
      <c r="H205" t="s">
        <v>13</v>
      </c>
      <c r="I205" t="s">
        <v>14</v>
      </c>
      <c r="J205" s="4">
        <f t="shared" si="10"/>
        <v>2100</v>
      </c>
    </row>
    <row r="206" spans="1:10" x14ac:dyDescent="0.3">
      <c r="A206" t="s">
        <v>224</v>
      </c>
      <c r="B206" s="1">
        <v>44991</v>
      </c>
      <c r="C206" s="1" t="str">
        <f t="shared" si="9"/>
        <v>March</v>
      </c>
      <c r="D206" s="2" t="s">
        <v>231</v>
      </c>
      <c r="E206" s="2" t="s">
        <v>22</v>
      </c>
      <c r="F206" t="s">
        <v>238</v>
      </c>
      <c r="G206" t="s">
        <v>242</v>
      </c>
      <c r="H206" t="s">
        <v>246</v>
      </c>
      <c r="J206" s="4">
        <f t="shared" si="10"/>
        <v>3500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C29F-42CC-49AB-8AC6-90F8655BE3DF}">
  <dimension ref="A1:E30"/>
  <sheetViews>
    <sheetView tabSelected="1" topLeftCell="A10" workbookViewId="0">
      <selection activeCell="H28" sqref="H28"/>
    </sheetView>
  </sheetViews>
  <sheetFormatPr defaultRowHeight="14.4" x14ac:dyDescent="0.3"/>
  <sheetData>
    <row r="1" spans="1:5" x14ac:dyDescent="0.3">
      <c r="A1" s="15" t="s">
        <v>259</v>
      </c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7" t="s">
        <v>260</v>
      </c>
      <c r="B3" s="17"/>
      <c r="C3" s="18">
        <v>2023</v>
      </c>
    </row>
    <row r="4" spans="1:5" x14ac:dyDescent="0.3">
      <c r="A4" s="17"/>
      <c r="B4" s="17"/>
      <c r="C4" s="18"/>
    </row>
    <row r="5" spans="1:5" x14ac:dyDescent="0.3">
      <c r="A5" s="17" t="s">
        <v>261</v>
      </c>
      <c r="B5" s="17"/>
      <c r="C5" s="18" t="s">
        <v>262</v>
      </c>
      <c r="D5" s="18"/>
    </row>
    <row r="6" spans="1:5" x14ac:dyDescent="0.3">
      <c r="A6" s="17"/>
      <c r="B6" s="17"/>
      <c r="C6" s="18"/>
      <c r="D6" s="18"/>
    </row>
    <row r="23" spans="1:3" x14ac:dyDescent="0.3">
      <c r="A23" s="19" t="s">
        <v>264</v>
      </c>
      <c r="B23" s="19"/>
      <c r="C23" s="19"/>
    </row>
    <row r="24" spans="1:3" x14ac:dyDescent="0.3">
      <c r="A24" s="19"/>
      <c r="B24" s="19"/>
      <c r="C24" s="19"/>
    </row>
    <row r="25" spans="1:3" x14ac:dyDescent="0.3">
      <c r="A25" s="19"/>
      <c r="B25" s="19"/>
      <c r="C25" s="19"/>
    </row>
    <row r="26" spans="1:3" x14ac:dyDescent="0.3">
      <c r="A26" s="19"/>
      <c r="B26" s="19"/>
      <c r="C26" s="19"/>
    </row>
    <row r="27" spans="1:3" x14ac:dyDescent="0.3">
      <c r="A27" s="19"/>
      <c r="B27" s="19"/>
      <c r="C27" s="19"/>
    </row>
    <row r="28" spans="1:3" x14ac:dyDescent="0.3">
      <c r="A28" s="19"/>
      <c r="B28" s="19"/>
      <c r="C28" s="19"/>
    </row>
    <row r="29" spans="1:3" x14ac:dyDescent="0.3">
      <c r="A29" s="19"/>
      <c r="B29" s="19"/>
      <c r="C29" s="19"/>
    </row>
    <row r="30" spans="1:3" x14ac:dyDescent="0.3">
      <c r="A30" s="19"/>
      <c r="B30" s="19"/>
      <c r="C30" s="19"/>
    </row>
  </sheetData>
  <mergeCells count="6">
    <mergeCell ref="A23:C30"/>
    <mergeCell ref="A1:E2"/>
    <mergeCell ref="A3:B4"/>
    <mergeCell ref="C3:C4"/>
    <mergeCell ref="A5:B6"/>
    <mergeCell ref="C5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Executive Summary</vt:lpstr>
      <vt:lpstr>Sales_Clean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Muhammad Hamza Jafri</cp:lastModifiedBy>
  <dcterms:created xsi:type="dcterms:W3CDTF">2026-04-17T06:49:48Z</dcterms:created>
  <dcterms:modified xsi:type="dcterms:W3CDTF">2026-04-17T15:00:53Z</dcterms:modified>
</cp:coreProperties>
</file>